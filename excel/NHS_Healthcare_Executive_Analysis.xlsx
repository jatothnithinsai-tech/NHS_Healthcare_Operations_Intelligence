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e\OneDrive\Desktop\NHS_Healthcare_Operations_Intelligence\excel\"/>
    </mc:Choice>
  </mc:AlternateContent>
  <xr:revisionPtr revIDLastSave="0" documentId="13_ncr:1_{94E7E272-F2A7-4494-8425-C5058CDC7724}" xr6:coauthVersionLast="47" xr6:coauthVersionMax="47" xr10:uidLastSave="{00000000-0000-0000-0000-000000000000}"/>
  <bookViews>
    <workbookView xWindow="-120" yWindow="-120" windowWidth="29040" windowHeight="15720" xr2:uid="{DF5A7E6E-FBDD-46FF-A84D-48220FF3E0D1}"/>
  </bookViews>
  <sheets>
    <sheet name="Executive Summary" sheetId="11" r:id="rId1"/>
    <sheet name="RTT Performance" sheetId="10" r:id="rId2"/>
    <sheet name="A&amp;E Performance" sheetId="9" r:id="rId3"/>
    <sheet name="Diagnostics Performance" sheetId="8" r:id="rId4"/>
    <sheet name="Provider Comparisons" sheetId="7" r:id="rId5"/>
    <sheet name="Monthly Trends" sheetId="6" r:id="rId6"/>
    <sheet name="Operational Priorities" sheetId="5" r:id="rId7"/>
    <sheet name="KPI Definitions" sheetId="4" r:id="rId8"/>
    <sheet name="Data Quality Summary" sheetId="3" r:id="rId9"/>
    <sheet name="Scenario Analysis" sheetId="2" r:id="rId10"/>
    <sheet name="Source Data" sheetId="1" r:id="rId11"/>
  </sheets>
  <definedNames>
    <definedName name="_xlnm.Print_Area" localSheetId="2">'A&amp;E Performance'!$B$2:$N$36</definedName>
    <definedName name="_xlnm.Print_Area" localSheetId="8">'Data Quality Summary'!$B$2:$N$33</definedName>
    <definedName name="_xlnm.Print_Area" localSheetId="3">'Diagnostics Performance'!$B$2:$N$36</definedName>
    <definedName name="_xlnm.Print_Area" localSheetId="7">'KPI Definitions'!$B$2:$F$15</definedName>
    <definedName name="_xlnm.Print_Area" localSheetId="5">'Monthly Trends'!$B$2:$N$36</definedName>
    <definedName name="_xlnm.Print_Area" localSheetId="6">'Operational Priorities'!$B$2:$N$36</definedName>
    <definedName name="_xlnm.Print_Area" localSheetId="4">'Provider Comparisons'!$B$2:$M$23</definedName>
    <definedName name="_xlnm.Print_Area" localSheetId="1">'RTT Performance'!$B$2:$N$36</definedName>
    <definedName name="_xlnm.Print_Area" localSheetId="10">'Source Data'!$B$2:$L$34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1" l="1"/>
  <c r="C19" i="11"/>
  <c r="E12" i="11"/>
  <c r="D12" i="11"/>
  <c r="E11" i="11"/>
  <c r="D11" i="11"/>
  <c r="E10" i="11"/>
  <c r="D10" i="11"/>
  <c r="C11" i="2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E33" i="6"/>
  <c r="D33" i="6"/>
  <c r="R33" i="1" s="1"/>
  <c r="C33" i="6"/>
  <c r="Q33" i="1" s="1"/>
  <c r="E32" i="6"/>
  <c r="D32" i="6"/>
  <c r="R32" i="1" s="1"/>
  <c r="C32" i="6"/>
  <c r="Q32" i="1" s="1"/>
  <c r="E31" i="6"/>
  <c r="D31" i="6"/>
  <c r="R31" i="1" s="1"/>
  <c r="C31" i="6"/>
  <c r="Q31" i="1" s="1"/>
  <c r="E30" i="6"/>
  <c r="D30" i="6"/>
  <c r="R30" i="1" s="1"/>
  <c r="C30" i="6"/>
  <c r="Q30" i="1" s="1"/>
  <c r="E29" i="6"/>
  <c r="D29" i="6"/>
  <c r="R29" i="1" s="1"/>
  <c r="C29" i="6"/>
  <c r="Q29" i="1" s="1"/>
  <c r="E28" i="6"/>
  <c r="D28" i="6"/>
  <c r="R28" i="1" s="1"/>
  <c r="C28" i="6"/>
  <c r="Q28" i="1" s="1"/>
  <c r="E27" i="6"/>
  <c r="D27" i="6"/>
  <c r="R27" i="1" s="1"/>
  <c r="C27" i="6"/>
  <c r="Q27" i="1" s="1"/>
  <c r="E26" i="6"/>
  <c r="D26" i="6"/>
  <c r="R26" i="1" s="1"/>
  <c r="C26" i="6"/>
  <c r="Q26" i="1" s="1"/>
  <c r="E25" i="6"/>
  <c r="D25" i="6"/>
  <c r="R25" i="1" s="1"/>
  <c r="C25" i="6"/>
  <c r="Q25" i="1" s="1"/>
  <c r="E24" i="6"/>
  <c r="D24" i="6"/>
  <c r="R24" i="1" s="1"/>
  <c r="C24" i="6"/>
  <c r="Q24" i="1" s="1"/>
  <c r="E23" i="6"/>
  <c r="D23" i="6"/>
  <c r="R23" i="1" s="1"/>
  <c r="C23" i="6"/>
  <c r="Q23" i="1" s="1"/>
  <c r="E22" i="6"/>
  <c r="D22" i="6"/>
  <c r="R22" i="1" s="1"/>
  <c r="C22" i="6"/>
  <c r="Q22" i="1" s="1"/>
  <c r="E21" i="6"/>
  <c r="D21" i="6"/>
  <c r="R21" i="1" s="1"/>
  <c r="C21" i="6"/>
  <c r="Q21" i="1" s="1"/>
  <c r="E20" i="6"/>
  <c r="D20" i="6"/>
  <c r="R20" i="1" s="1"/>
  <c r="C20" i="6"/>
  <c r="Q20" i="1" s="1"/>
  <c r="E19" i="6"/>
  <c r="D19" i="6"/>
  <c r="R19" i="1" s="1"/>
  <c r="C19" i="6"/>
  <c r="Q19" i="1" s="1"/>
  <c r="E18" i="6"/>
  <c r="D18" i="6"/>
  <c r="R18" i="1" s="1"/>
  <c r="C18" i="6"/>
  <c r="Q18" i="1" s="1"/>
  <c r="E17" i="6"/>
  <c r="D17" i="6"/>
  <c r="R17" i="1" s="1"/>
  <c r="C17" i="6"/>
  <c r="Q17" i="1" s="1"/>
  <c r="E16" i="6"/>
  <c r="D16" i="6"/>
  <c r="R16" i="1" s="1"/>
  <c r="C16" i="6"/>
  <c r="Q16" i="1" s="1"/>
  <c r="E15" i="6"/>
  <c r="D15" i="6"/>
  <c r="R15" i="1" s="1"/>
  <c r="C15" i="6"/>
  <c r="Q15" i="1" s="1"/>
  <c r="E14" i="6"/>
  <c r="D14" i="6"/>
  <c r="R14" i="1" s="1"/>
  <c r="C14" i="6"/>
  <c r="Q14" i="1" s="1"/>
  <c r="E13" i="6"/>
  <c r="D13" i="6"/>
  <c r="R13" i="1" s="1"/>
  <c r="C13" i="6"/>
  <c r="Q13" i="1" s="1"/>
  <c r="E12" i="6"/>
  <c r="D12" i="6"/>
  <c r="R12" i="1" s="1"/>
  <c r="C12" i="6"/>
  <c r="Q12" i="1" s="1"/>
  <c r="E11" i="6"/>
  <c r="D11" i="6"/>
  <c r="R11" i="1" s="1"/>
  <c r="C11" i="6"/>
  <c r="Q11" i="1" s="1"/>
  <c r="E10" i="6"/>
  <c r="D10" i="6"/>
  <c r="R10" i="1" s="1"/>
  <c r="C10" i="6"/>
  <c r="Q10" i="1" s="1"/>
  <c r="E9" i="6"/>
  <c r="D9" i="6"/>
  <c r="R9" i="1" s="1"/>
  <c r="C9" i="6"/>
  <c r="Q9" i="1" s="1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</calcChain>
</file>

<file path=xl/sharedStrings.xml><?xml version="1.0" encoding="utf-8"?>
<sst xmlns="http://schemas.openxmlformats.org/spreadsheetml/2006/main" count="1495" uniqueCount="845">
  <si>
    <t>NHS OPERATIONS  |  EXECUTIVE SUMMARY</t>
  </si>
  <si>
    <t>Published aggregate observations · independent portfolio analysis · source-specific reporting months</t>
  </si>
  <si>
    <t>NHS OPERATIONS  |  RTT PERFORMANCE</t>
  </si>
  <si>
    <t>NHS OPERATIONS  |  A&amp;E PERFORMANCE</t>
  </si>
  <si>
    <t>NHS OPERATIONS  |  DIAGNOSTICS PERFORMANCE</t>
  </si>
  <si>
    <t>NHS OPERATIONS  |  PROVIDER COMPARISONS</t>
  </si>
  <si>
    <t>NHS OPERATIONS  |  MONTHLY TRENDS</t>
  </si>
  <si>
    <t>NHS OPERATIONS  |  OPERATIONAL PRIORITIES</t>
  </si>
  <si>
    <t>NHS OPERATIONS  |  KPI DEFINITIONS</t>
  </si>
  <si>
    <t>NHS OPERATIONS  |  DATA QUALITY SUMMARY</t>
  </si>
  <si>
    <t>NHS OPERATIONS  |  SCENARIO ANALYSIS</t>
  </si>
  <si>
    <t>NHS OPERATIONS  |  SOURCE DATA</t>
  </si>
  <si>
    <t>Month</t>
  </si>
  <si>
    <t>RTT waiting</t>
  </si>
  <si>
    <t>RTT within18</t>
  </si>
  <si>
    <t>RTT over52</t>
  </si>
  <si>
    <t>AE attendances</t>
  </si>
  <si>
    <t>AE within4</t>
  </si>
  <si>
    <t>Emergency admissions</t>
  </si>
  <si>
    <t>DTA12plus</t>
  </si>
  <si>
    <t>Diagnostic waiting</t>
  </si>
  <si>
    <t>Diagnostic over6</t>
  </si>
  <si>
    <t>Diagnostic activity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</si>
  <si>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</si>
  <si>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</si>
  <si>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</si>
  <si>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</si>
  <si>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</si>
  <si>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</si>
  <si>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</si>
  <si>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</si>
  <si>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</si>
  <si>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</si>
  <si>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</si>
  <si>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</si>
  <si>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</si>
  <si>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</si>
  <si>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</si>
  <si>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</si>
  <si>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</si>
  <si>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</si>
  <si>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</si>
  <si>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</si>
  <si>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</si>
  <si>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</si>
  <si>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</si>
  <si>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</si>
  <si>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</si>
  <si>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Incomplete pathways</t>
  </si>
  <si>
    <t>Within18</t>
  </si>
  <si>
    <t>Over52</t>
  </si>
  <si>
    <t>Within18 rate</t>
  </si>
  <si>
    <t>Attendances</t>
  </si>
  <si>
    <t>Within4</t>
  </si>
  <si>
    <t>Within4 rate</t>
  </si>
  <si>
    <t>Waiting list</t>
  </si>
  <si>
    <t>Six weeks or more</t>
  </si>
  <si>
    <t>Activity</t>
  </si>
  <si>
    <t>Six-week rate</t>
  </si>
  <si>
    <t>Provider code</t>
  </si>
  <si>
    <t>Provider name</t>
  </si>
  <si>
    <t>RTT pathways</t>
  </si>
  <si>
    <t>Review signal</t>
  </si>
  <si>
    <t>RAJ</t>
  </si>
  <si>
    <t>MID AND SOUTH ESSEX NHS FOUNDATION TRUST</t>
  </si>
  <si>
    <t>Review long-wait volume</t>
  </si>
  <si>
    <t>RYR</t>
  </si>
  <si>
    <t>UNIVERSITY HOSPITALS SUSSEX NHS FOUNDATION TRUST</t>
  </si>
  <si>
    <t>Review sustained deterioration</t>
  </si>
  <si>
    <t>RM3</t>
  </si>
  <si>
    <t>NORTHERN CARE ALLIANCE NHS FOUNDATION TRUST</t>
  </si>
  <si>
    <t>RWA</t>
  </si>
  <si>
    <t>HULL UNIVERSITY TEACHING HOSPITALS NHS TRUST</t>
  </si>
  <si>
    <t>RVV</t>
  </si>
  <si>
    <t>EAST KENT HOSPITALS UNIVERSITY NHS FOUNDATION TRUST</t>
  </si>
  <si>
    <t>RWE</t>
  </si>
  <si>
    <t>UNIVERSITY HOSPITALS OF LEICESTER NHS TRUST</t>
  </si>
  <si>
    <t>RX1</t>
  </si>
  <si>
    <t>NOTTINGHAM UNIVERSITY HOSPITALS NHS TRUST</t>
  </si>
  <si>
    <t>RTG</t>
  </si>
  <si>
    <t>UNIVERSITY HOSPITALS OF DERBY AND BURTON NHS FOUNDATION TRUST</t>
  </si>
  <si>
    <t>RKB</t>
  </si>
  <si>
    <t>UNIVERSITY HOSPITALS COVENTRY AND WARWICKSHIRE NHS TRUST</t>
  </si>
  <si>
    <t>RJZ</t>
  </si>
  <si>
    <t>KING'S COLLEGE HOSPITAL NHS FOUNDATION TRUST</t>
  </si>
  <si>
    <t>RHU</t>
  </si>
  <si>
    <t>PORTSMOUTH HOSPITALS UNIVERSITY NHS TRUST</t>
  </si>
  <si>
    <t>RM1</t>
  </si>
  <si>
    <t>NORFOLK AND NORWICH UNIVERSITY HOSPITALS NHS FOUNDATION TRUST</t>
  </si>
  <si>
    <t>RBN</t>
  </si>
  <si>
    <t>MERSEY AND WEST LANCASHIRE TEACHING HOSPITALS NHS TRUST</t>
  </si>
  <si>
    <t>RJE</t>
  </si>
  <si>
    <t>UNIVERSITY HOSPITALS OF NORTH MIDLANDS NHS TRUST</t>
  </si>
  <si>
    <t>RH5</t>
  </si>
  <si>
    <t>SOMERSET NHS FOUNDATION TRUST</t>
  </si>
  <si>
    <t>RH8</t>
  </si>
  <si>
    <t>ROYAL DEVON UNIVERSITY HEALTHCARE NHS FOUNDATION TRUST</t>
  </si>
  <si>
    <t>RJL</t>
  </si>
  <si>
    <t>NORTHERN LINCOLNSHIRE AND GOOLE NHS FOUNDATION TRUST</t>
  </si>
  <si>
    <t>RP5</t>
  </si>
  <si>
    <t>DONCASTER AND BASSETLAW TEACHING HOSPITALS NHS FOUNDATION TRUST</t>
  </si>
  <si>
    <t>RHM</t>
  </si>
  <si>
    <t>UNIVERSITY HOSPITAL SOUTHAMPTON NHS FOUNDATION TRUST</t>
  </si>
  <si>
    <t>RTH</t>
  </si>
  <si>
    <t>OXFORD UNIVERSITY HOSPITALS NHS FOUNDATION TRUST</t>
  </si>
  <si>
    <t>RR8</t>
  </si>
  <si>
    <t>LEEDS TEACHING HOSPITALS NHS TRUST</t>
  </si>
  <si>
    <t>RXP</t>
  </si>
  <si>
    <t>COUNTY DURHAM AND DARLINGTON NHS FOUNDATION TRUST</t>
  </si>
  <si>
    <t>RAL</t>
  </si>
  <si>
    <t>ROYAL FREE LONDON NHS FOUNDATION TRUST</t>
  </si>
  <si>
    <t>R0A</t>
  </si>
  <si>
    <t>MANCHESTER UNIVERSITY NHS FOUNDATION TRUST</t>
  </si>
  <si>
    <t>RTP</t>
  </si>
  <si>
    <t>SURREY AND SUSSEX HEALTHCARE NHS TRUST</t>
  </si>
  <si>
    <t>RCB</t>
  </si>
  <si>
    <t>YORK AND SCARBOROUGH TEACHING HOSPITALS NHS FOUNDATION TRUST</t>
  </si>
  <si>
    <t>RF4</t>
  </si>
  <si>
    <t>BARKING, HAVERING AND REDBRIDGE UNIVERSITY HOSPITALS NHS TRUST</t>
  </si>
  <si>
    <t>RC9</t>
  </si>
  <si>
    <t>BEDFORDSHIRE HOSPITALS NHS FOUNDATION TRUST</t>
  </si>
  <si>
    <t>RN5</t>
  </si>
  <si>
    <t>HAMPSHIRE HOSPITALS NHS FOUNDATION TRUST</t>
  </si>
  <si>
    <t>RXL</t>
  </si>
  <si>
    <t>BLACKPOOL TEACHING HOSPITALS NHS FOUNDATION TRUST</t>
  </si>
  <si>
    <t>RRF</t>
  </si>
  <si>
    <t>WRIGHTINGTON, WIGAN AND LEIGH TEACHING HOSPITALS NHS FOUNDATION TRUST</t>
  </si>
  <si>
    <t>RWD</t>
  </si>
  <si>
    <t>UNITED LINCOLNSHIRE TEACHING HOSPITALS NHS TRUST</t>
  </si>
  <si>
    <t>RDU</t>
  </si>
  <si>
    <t>FRIMLEY HEALTH NHS FOUNDATION TRUST</t>
  </si>
  <si>
    <t>RL4</t>
  </si>
  <si>
    <t>THE ROYAL WOLVERHAMPTON NHS TRUST</t>
  </si>
  <si>
    <t>RTK</t>
  </si>
  <si>
    <t>ASHFORD AND ST PETER'S HOSPITALS NHS FOUNDATION TRUST</t>
  </si>
  <si>
    <t>R1H</t>
  </si>
  <si>
    <t>BARTS HEALTH NHS TRUST</t>
  </si>
  <si>
    <t>RN3</t>
  </si>
  <si>
    <t>GREAT WESTERN HOSPITALS NHS FOUNDATION TRUST</t>
  </si>
  <si>
    <t>Monitor</t>
  </si>
  <si>
    <t>RJ1</t>
  </si>
  <si>
    <t>GUY'S AND ST THOMAS' NHS FOUNDATION TRUST</t>
  </si>
  <si>
    <t>RD8</t>
  </si>
  <si>
    <t>MILTON KEYNES UNIVERSITY HOSPITAL NHS FOUNDATION TRUST</t>
  </si>
  <si>
    <t>RN7</t>
  </si>
  <si>
    <t>DARTFORD AND GRAVESHAM NHS TRUST</t>
  </si>
  <si>
    <t>RWH</t>
  </si>
  <si>
    <t>EAST AND NORTH HERTFORDSHIRE TEACHING NHS TRUST</t>
  </si>
  <si>
    <t>RRV</t>
  </si>
  <si>
    <t>UNIVERSITY COLLEGE LONDON HOSPITALS NHS FOUNDATION TRUST</t>
  </si>
  <si>
    <t>RQM</t>
  </si>
  <si>
    <t>CHELSEA AND WESTMINSTER HOSPITAL NHS FOUNDATION TRUST</t>
  </si>
  <si>
    <t>REM</t>
  </si>
  <si>
    <t>LIVERPOOL UNIVERSITY HOSPITALS NHS FOUNDATION TRUST</t>
  </si>
  <si>
    <t>RJ7</t>
  </si>
  <si>
    <t>ST GEORGE'S UNIVERSITY HOSPITALS NHS FOUNDATION TRUST</t>
  </si>
  <si>
    <t>Q2Y5H</t>
  </si>
  <si>
    <t>OVIVA UK LTD</t>
  </si>
  <si>
    <t>RGP</t>
  </si>
  <si>
    <t>JAMES PAGET UNIVERSITY HOSPITALS NHS FOUNDATION TRUST</t>
  </si>
  <si>
    <t>RJ2</t>
  </si>
  <si>
    <t>LEWISHAM AND GREENWICH NHS TRUST</t>
  </si>
  <si>
    <t>RTR</t>
  </si>
  <si>
    <t>SOUTH TEES HOSPITALS NHS FOUNDATION TRUST</t>
  </si>
  <si>
    <t>RGT</t>
  </si>
  <si>
    <t>CAMBRIDGE UNIVERSITY HOSPITALS NHS FOUNDATION TRUST</t>
  </si>
  <si>
    <t>RTD</t>
  </si>
  <si>
    <t>THE NEWCASTLE UPON TYNE HOSPITALS NHS FOUNDATION TRUST</t>
  </si>
  <si>
    <t>RPA</t>
  </si>
  <si>
    <t>MEDWAY NHS FOUNDATION TRUST</t>
  </si>
  <si>
    <t>R0D</t>
  </si>
  <si>
    <t>UNIVERSITY HOSPITALS DORSET NHS FOUNDATION TRUST</t>
  </si>
  <si>
    <t>RJ6</t>
  </si>
  <si>
    <t>CROYDON HEALTH SERVICES NHS TRUST</t>
  </si>
  <si>
    <t>RGR</t>
  </si>
  <si>
    <t>WEST SUFFOLK NHS FOUNDATION TRUST</t>
  </si>
  <si>
    <t>RWP</t>
  </si>
  <si>
    <t>WORCESTERSHIRE ACUTE HOSPITALS NHS TRUST</t>
  </si>
  <si>
    <t>RTX</t>
  </si>
  <si>
    <t>UNIVERSITY HOSPITALS OF MORECAMBE BAY NHS FOUNDATION TRUST</t>
  </si>
  <si>
    <t>R1K</t>
  </si>
  <si>
    <t>LONDON NORTH WEST UNIVERSITY HEALTHCARE NHS TRUST</t>
  </si>
  <si>
    <t>RA7</t>
  </si>
  <si>
    <t>BRISTOL NHS FOUNDATION TRUST</t>
  </si>
  <si>
    <t>RMC</t>
  </si>
  <si>
    <t>BOLTON NHS FOUNDATION TRUST</t>
  </si>
  <si>
    <t>RVR</t>
  </si>
  <si>
    <t>EPSOM AND ST HELIER UNIVERSITY HOSPITALS NHS TRUST</t>
  </si>
  <si>
    <t>RFS</t>
  </si>
  <si>
    <t>CHESTERFIELD ROYAL HOSPITAL NHS FOUNDATION TRUST</t>
  </si>
  <si>
    <t>RK5</t>
  </si>
  <si>
    <t>SHERWOOD FOREST HOSPITALS NHS FOUNDATION TRUST</t>
  </si>
  <si>
    <t>RXK</t>
  </si>
  <si>
    <t>SANDWELL AND WEST BIRMINGHAM HOSPITALS NHS TRUST</t>
  </si>
  <si>
    <t>DXV</t>
  </si>
  <si>
    <t>OMNES HEALTHCARE LTD</t>
  </si>
  <si>
    <t>RGN</t>
  </si>
  <si>
    <t>NORTH WEST ANGLIA NHS FOUNDATION TRUST</t>
  </si>
  <si>
    <t>REF</t>
  </si>
  <si>
    <t>ROYAL CORNWALL HOSPITALS NHS TRUST</t>
  </si>
  <si>
    <t>RQW</t>
  </si>
  <si>
    <t>THE PRINCESS ALEXANDRA HOSPITAL NHS TRUST</t>
  </si>
  <si>
    <t>RDE</t>
  </si>
  <si>
    <t>EAST SUFFOLK AND NORTH ESSEX NHS FOUNDATION TRUST</t>
  </si>
  <si>
    <t>RJC</t>
  </si>
  <si>
    <t>SOUTH WARWICKSHIRE UNIVERSITY NHS FOUNDATION TRUST</t>
  </si>
  <si>
    <t>RWG</t>
  </si>
  <si>
    <t>WEST HERTFORDSHIRE TEACHING HOSPITALS NHS TRUST</t>
  </si>
  <si>
    <t>RA2</t>
  </si>
  <si>
    <t>ROYAL SURREY NHS FOUNDATION TRUST</t>
  </si>
  <si>
    <t>RFR</t>
  </si>
  <si>
    <t>THE ROTHERHAM NHS FOUNDATION TRUST</t>
  </si>
  <si>
    <t>RBD</t>
  </si>
  <si>
    <t>DORSET COUNTY HOSPITAL NHS FOUNDATION TRUST</t>
  </si>
  <si>
    <t>RXN</t>
  </si>
  <si>
    <t>LANCASHIRE TEACHING HOSPITALS NHS FOUNDATION TRUST</t>
  </si>
  <si>
    <t>RNN</t>
  </si>
  <si>
    <t>NORTH CUMBRIA INTEGRATED CARE NHS FOUNDATION TRUST</t>
  </si>
  <si>
    <t>RXC</t>
  </si>
  <si>
    <t>EAST SUSSEX HEALTHCARE NHS TRUST</t>
  </si>
  <si>
    <t>RXF</t>
  </si>
  <si>
    <t>MID YORKSHIRE TEACHING NHS TRUST</t>
  </si>
  <si>
    <t>RDR</t>
  </si>
  <si>
    <t>SUSSEX COMMUNITY NHS FOUNDATION TRUST</t>
  </si>
  <si>
    <t>RWW</t>
  </si>
  <si>
    <t>NORTH CHESHIRE AND MERSEY NHS FOUNDATION TRUST</t>
  </si>
  <si>
    <t>RJN</t>
  </si>
  <si>
    <t>EAST CHESHIRE NHS TRUST</t>
  </si>
  <si>
    <t>RBL</t>
  </si>
  <si>
    <t>WIRRAL UNIVERSITY TEACHING HOSPITAL NHS FOUNDATION TRUST</t>
  </si>
  <si>
    <t>RCX</t>
  </si>
  <si>
    <t>THE QUEEN ELIZABETH HOSPITAL, KING'S LYNN, NHS FOUNDATION TRUST</t>
  </si>
  <si>
    <t>RBT</t>
  </si>
  <si>
    <t>MID CHESHIRE HOSPITALS NHS FOUNDATION TRUST</t>
  </si>
  <si>
    <t>RLQ</t>
  </si>
  <si>
    <t>WYE VALLEY NHS TRUST</t>
  </si>
  <si>
    <t>RPC</t>
  </si>
  <si>
    <t>QUEEN VICTORIA HOSPITAL NHS FOUNDATION TRUST</t>
  </si>
  <si>
    <t>RL1</t>
  </si>
  <si>
    <t>THE ROBERT JONES AND AGNES HUNT ORTHOPAEDIC HOSPITAL NHS FOUNDATION TRUST</t>
  </si>
  <si>
    <t>RP4</t>
  </si>
  <si>
    <t>GREAT ORMOND STREET HOSPITAL FOR CHILDREN NHS FOUNDATION TRUST</t>
  </si>
  <si>
    <t>RVW</t>
  </si>
  <si>
    <t>NORTH TEES AND HARTLEPOOL NHS FOUNDATION TRUST</t>
  </si>
  <si>
    <t>NVC16</t>
  </si>
  <si>
    <t>RENACRES HOSPITAL</t>
  </si>
  <si>
    <t>RJR</t>
  </si>
  <si>
    <t>COUNTESS OF CHESTER HOSPITAL NHS FOUNDATION TRUST</t>
  </si>
  <si>
    <t>NT204</t>
  </si>
  <si>
    <t>NUFFIELD HEALTH, BRENTWOOD HOSPITAL</t>
  </si>
  <si>
    <t>RRK</t>
  </si>
  <si>
    <t>UNIVERSITY HOSPITALS BIRMINGHAM NHS FOUNDATION TRUST</t>
  </si>
  <si>
    <t>RXR</t>
  </si>
  <si>
    <t>EAST LANCASHIRE HOSPITALS NHS TRUST</t>
  </si>
  <si>
    <t>NVC06</t>
  </si>
  <si>
    <t>FITZWILLIAM HOSPITAL</t>
  </si>
  <si>
    <t>RBS</t>
  </si>
  <si>
    <t>ALDER HEY CHILDREN'S NHS FOUNDATION TRUST</t>
  </si>
  <si>
    <t>RWJ</t>
  </si>
  <si>
    <t>STOCKPORT NHS FOUNDATION TRUST</t>
  </si>
  <si>
    <t>RD1</t>
  </si>
  <si>
    <t>ROYAL UNITED HOSPITALS BATH NHS FOUNDATION TRUST</t>
  </si>
  <si>
    <t>RFF</t>
  </si>
  <si>
    <t>BARNSLEY HOSPITAL NHS FOUNDATION TRUST</t>
  </si>
  <si>
    <t>RQ3</t>
  </si>
  <si>
    <t>BIRMINGHAM WOMEN'S AND CHILDREN'S NHS FOUNDATION TRUST</t>
  </si>
  <si>
    <t>REP</t>
  </si>
  <si>
    <t>LIVERPOOL WOMEN'S NHS FOUNDATION TRUST</t>
  </si>
  <si>
    <t>RNZ</t>
  </si>
  <si>
    <t>SALISBURY NHS FOUNDATION TRUST</t>
  </si>
  <si>
    <t>RCU</t>
  </si>
  <si>
    <t>SHEFFIELD CHILDREN'S NHS FOUNDATION TRUST</t>
  </si>
  <si>
    <t>RQX</t>
  </si>
  <si>
    <t>HOMERTON HEALTHCARE NHS FOUNDATION TRUST</t>
  </si>
  <si>
    <t>NYG</t>
  </si>
  <si>
    <t>SUSSEX COMMUNITY DERMATOLOGY SERVICE</t>
  </si>
  <si>
    <t>NVC15</t>
  </si>
  <si>
    <t>PINEHILL HOSPITAL</t>
  </si>
  <si>
    <t>RKE</t>
  </si>
  <si>
    <t>WHITTINGTON HEALTH NHS TRUST</t>
  </si>
  <si>
    <t>RAS</t>
  </si>
  <si>
    <t>THE HILLINGDON HOSPITALS NHS FOUNDATION TRUST</t>
  </si>
  <si>
    <t>RNQ</t>
  </si>
  <si>
    <t>KETTERING GENERAL HOSPITAL NHS FOUNDATION TRUST</t>
  </si>
  <si>
    <t>RLT</t>
  </si>
  <si>
    <t>GEORGE ELIOT HOSPITAL NHS TRUST</t>
  </si>
  <si>
    <t>H4I8B</t>
  </si>
  <si>
    <t>NUFFIELD HEALTH THE HOLLY HOSPITAL</t>
  </si>
  <si>
    <t>RET</t>
  </si>
  <si>
    <t>THE WALTON CENTRE NHS FOUNDATION TRUST</t>
  </si>
  <si>
    <t>R1F</t>
  </si>
  <si>
    <t>ISLE OF WIGHT NHS TRUST</t>
  </si>
  <si>
    <t>NMG</t>
  </si>
  <si>
    <t>CORA HEALTH MSK (FORMERLY CONNECT HEALTH LTD)</t>
  </si>
  <si>
    <t>NT314</t>
  </si>
  <si>
    <t>SPIRE LONDON EAST</t>
  </si>
  <si>
    <t>RRJ</t>
  </si>
  <si>
    <t>THE ROYAL ORTHOPAEDIC HOSPITAL NHS FOUNDATION TRUST</t>
  </si>
  <si>
    <t>RAX</t>
  </si>
  <si>
    <t>KINGSTON AND RICHMOND NHS FOUNDATION TRUST</t>
  </si>
  <si>
    <t>NVC18</t>
  </si>
  <si>
    <t>SPRINGFIELD HOSPITAL</t>
  </si>
  <si>
    <t>RXQ</t>
  </si>
  <si>
    <t>BUCKINGHAMSHIRE HEALTHCARE NHS TRUST</t>
  </si>
  <si>
    <t>NVC08</t>
  </si>
  <si>
    <t>MOUNT STUART HOSPITAL</t>
  </si>
  <si>
    <t>NN8</t>
  </si>
  <si>
    <t>SPENCER PRIVATE HOSPITALS LTD</t>
  </si>
  <si>
    <t>NT427</t>
  </si>
  <si>
    <t>PARK HOSPITAL</t>
  </si>
  <si>
    <t>NVM</t>
  </si>
  <si>
    <t>EPSOMEDICAL GROUP</t>
  </si>
  <si>
    <t>NTP15</t>
  </si>
  <si>
    <t>PRACTICE PLUS GROUP HOSPITAL - ILFORD</t>
  </si>
  <si>
    <t>RCF</t>
  </si>
  <si>
    <t>AIREDALE NHS FOUNDATION TRUST</t>
  </si>
  <si>
    <t>NLX</t>
  </si>
  <si>
    <t>SIRONA CARE &amp; HEALTH</t>
  </si>
  <si>
    <t>RAE</t>
  </si>
  <si>
    <t>BRADFORD TEACHING HOSPITALS NHS FOUNDATION TRUST</t>
  </si>
  <si>
    <t>NT441</t>
  </si>
  <si>
    <t>THREE SHIRES HOSPITAL</t>
  </si>
  <si>
    <t>RHW</t>
  </si>
  <si>
    <t>ROYAL BERKSHIRE NHS FOUNDATION TRUST</t>
  </si>
  <si>
    <t>RTE</t>
  </si>
  <si>
    <t>GLOUCESTERSHIRE HOSPITALS NHS FOUNDATION TRUST</t>
  </si>
  <si>
    <t>NYR</t>
  </si>
  <si>
    <t>CORA HEALTH DIAGNOSTICS (FORMERLY HEALTHSHARE DIAGNOSTICS)</t>
  </si>
  <si>
    <t>M2Y6D</t>
  </si>
  <si>
    <t>PRACTICE PLUS GROUP HOSPITAL BIRMINGHAM</t>
  </si>
  <si>
    <t>NT308</t>
  </si>
  <si>
    <t>SPIRE GATWICK PARK HOSPITAL</t>
  </si>
  <si>
    <t>NCN</t>
  </si>
  <si>
    <t>DMC HEALTHCARE</t>
  </si>
  <si>
    <t>A4M8P</t>
  </si>
  <si>
    <t>BUCKSHAW HOSPITAL</t>
  </si>
  <si>
    <t>B3M1X</t>
  </si>
  <si>
    <t>CLAREMONT PRIVATE HOSPITAL</t>
  </si>
  <si>
    <t>NVC27</t>
  </si>
  <si>
    <t>BOSTON WEST HOSPITAL</t>
  </si>
  <si>
    <t>NT320</t>
  </si>
  <si>
    <t>SPIRE PARKWAY HOSPITAL</t>
  </si>
  <si>
    <t>NVC20</t>
  </si>
  <si>
    <t>THE YORKSHIRE CLINIC</t>
  </si>
  <si>
    <t>NTX</t>
  </si>
  <si>
    <t>THE ONE HEALTH GROUP PLC</t>
  </si>
  <si>
    <t>NTPH1</t>
  </si>
  <si>
    <t>PRACTICE PLUS GROUP HOSPITAL - SHEPTON MALLET</t>
  </si>
  <si>
    <t>RGM</t>
  </si>
  <si>
    <t>ROYAL PAPWORTH HOSPITAL NHS FOUNDATION TRUST</t>
  </si>
  <si>
    <t>RYJ</t>
  </si>
  <si>
    <t>IMPERIAL COLLEGE HEALTHCARE NHS TRUST</t>
  </si>
  <si>
    <t>NVC29</t>
  </si>
  <si>
    <t>COBALT HOSPITAL</t>
  </si>
  <si>
    <t>RNA</t>
  </si>
  <si>
    <t>THE DUDLEY GROUP NHS FOUNDATION TRUST</t>
  </si>
  <si>
    <t>NVC09</t>
  </si>
  <si>
    <t>NEW HALL HOSPITAL</t>
  </si>
  <si>
    <t>NVC05</t>
  </si>
  <si>
    <t>EUXTON HALL HOSPITAL</t>
  </si>
  <si>
    <t>NVC1H</t>
  </si>
  <si>
    <t>STOURSIDE HOSPITAL</t>
  </si>
  <si>
    <t>RP6</t>
  </si>
  <si>
    <t>MOORFIELDS EYE HOSPITAL NHS FOUNDATION TRUST</t>
  </si>
  <si>
    <t>NVC11</t>
  </si>
  <si>
    <t>NORTH DOWNS HOSPITAL</t>
  </si>
  <si>
    <t>NT312</t>
  </si>
  <si>
    <t>SPIRE ALEXANDRA HOSPITAL</t>
  </si>
  <si>
    <t>NVC19</t>
  </si>
  <si>
    <t>RIVERS HOSPITAL</t>
  </si>
  <si>
    <t>NLG</t>
  </si>
  <si>
    <t>COMMUNITAS CLINICS</t>
  </si>
  <si>
    <t>RBQ</t>
  </si>
  <si>
    <t>LIVERPOOL HEART AND CHEST HOSPITAL NHS FOUNDATION TRUST</t>
  </si>
  <si>
    <t>L4R3R</t>
  </si>
  <si>
    <t>NEWMEDICA - HAMPSHIRE</t>
  </si>
  <si>
    <t>NT233</t>
  </si>
  <si>
    <t>NUFFIELD HEALTH, PLYMOUTH HOSPITAL</t>
  </si>
  <si>
    <t>NVC44</t>
  </si>
  <si>
    <t>THE WESTBOURNE CENTRE</t>
  </si>
  <si>
    <t>NTP11</t>
  </si>
  <si>
    <t>PRACTICE PLUS GROUP HOSPITAL - SOUTHAMPTON</t>
  </si>
  <si>
    <t>G3Q3Z</t>
  </si>
  <si>
    <t>NUFFIELD HEALTH HIGHGATE HOSPITAL</t>
  </si>
  <si>
    <t>NT333</t>
  </si>
  <si>
    <t>SPIRE WASHINGTON HOSPITAL</t>
  </si>
  <si>
    <t>NT313</t>
  </si>
  <si>
    <t>SPIRE WELLESLEY HOSPITAL</t>
  </si>
  <si>
    <t>RCD</t>
  </si>
  <si>
    <t>HARROGATE AND DISTRICT NHS FOUNDATION TRUST</t>
  </si>
  <si>
    <t>NTPH5</t>
  </si>
  <si>
    <t>PRACTICE PLUS GROUP HOSPITAL - PLYMOUTH</t>
  </si>
  <si>
    <t>RBK</t>
  </si>
  <si>
    <t>WALSALL HEALTHCARE NHS TRUST</t>
  </si>
  <si>
    <t>RAN</t>
  </si>
  <si>
    <t>ROYAL NATIONAL ORTHOPAEDIC HOSPITAL NHS TRUST</t>
  </si>
  <si>
    <t>NVC31</t>
  </si>
  <si>
    <t>BLAKELANDS HOSPITAL</t>
  </si>
  <si>
    <t>NT321</t>
  </si>
  <si>
    <t>SPIRE LITTLE ASTON HOSPITAL</t>
  </si>
  <si>
    <t>AHP</t>
  </si>
  <si>
    <t>ST MICHAEL'S CLINIC LIMITED</t>
  </si>
  <si>
    <t>NVC25</t>
  </si>
  <si>
    <t>THE CHERWELL HOSPITAL</t>
  </si>
  <si>
    <t>NT230</t>
  </si>
  <si>
    <t>NUFFIELD HEALTH, NORTH STAFFORDSHIRE HOSPITAL</t>
  </si>
  <si>
    <t>RWY</t>
  </si>
  <si>
    <t>CALDERDALE AND HUDDERSFIELD NHS FOUNDATION TRUST</t>
  </si>
  <si>
    <t>NT337</t>
  </si>
  <si>
    <t>SPIRE LIVERPOOL HOSPITAL</t>
  </si>
  <si>
    <t>NTP16</t>
  </si>
  <si>
    <t>PRACTICE PLUS GROUP SURGICAL CENTRE - GILLINGHAM</t>
  </si>
  <si>
    <t>NXM01</t>
  </si>
  <si>
    <t>THE HORDER CENTRE - ST JOHNS ROAD</t>
  </si>
  <si>
    <t>NWF01</t>
  </si>
  <si>
    <t>BENENDEN HOSPITAL</t>
  </si>
  <si>
    <t>RR7</t>
  </si>
  <si>
    <t>GATESHEAD HEALTH NHS FOUNDATION TRUST</t>
  </si>
  <si>
    <t>NT406</t>
  </si>
  <si>
    <t>BLACKHEATH HOSPITAL</t>
  </si>
  <si>
    <t>NT245</t>
  </si>
  <si>
    <t>NUFFIELD HEALTH, YORK HOSPITAL</t>
  </si>
  <si>
    <t>NVC07</t>
  </si>
  <si>
    <t>FULWOOD HALL HOSPITAL</t>
  </si>
  <si>
    <t>L0D9W</t>
  </si>
  <si>
    <t>NEWMEDICA - GLOUCESTER (BRIGHOUSE COURT)</t>
  </si>
  <si>
    <t>NVC28</t>
  </si>
  <si>
    <t>CLIFTON PARK HOSPITAL</t>
  </si>
  <si>
    <t>N8R1N</t>
  </si>
  <si>
    <t>NEWMEDICA - BERKSHIRE</t>
  </si>
  <si>
    <t>NT322</t>
  </si>
  <si>
    <t>SPIRE LEICESTER HOSPITAL</t>
  </si>
  <si>
    <t>NT347</t>
  </si>
  <si>
    <t>SPIRE FYLDE COAST HOSPITAL</t>
  </si>
  <si>
    <t>NTE02</t>
  </si>
  <si>
    <t>ST HUGH'S HOSPITAL</t>
  </si>
  <si>
    <t>NVC04</t>
  </si>
  <si>
    <t>DUCHY HOSPITAL</t>
  </si>
  <si>
    <t>NVC22</t>
  </si>
  <si>
    <t>WINFIELD HOSPITAL</t>
  </si>
  <si>
    <t>NT348</t>
  </si>
  <si>
    <t>SPIRE ELLAND HOSPITAL</t>
  </si>
  <si>
    <t>NVC01</t>
  </si>
  <si>
    <t>ASHTEAD HOSPITAL</t>
  </si>
  <si>
    <t>NVC02</t>
  </si>
  <si>
    <t>THE BERKSHIRE INDEPENDENT HOSPITAL</t>
  </si>
  <si>
    <t>NT422</t>
  </si>
  <si>
    <t>LONDON INDEPENDENT HOSPITAL</t>
  </si>
  <si>
    <t>NT404</t>
  </si>
  <si>
    <t>BEAUMONT HOSPITAL</t>
  </si>
  <si>
    <t>NNE</t>
  </si>
  <si>
    <t>DORKING HEALTHCARE LIMITED (DHC)</t>
  </si>
  <si>
    <t>RWF</t>
  </si>
  <si>
    <t>MAIDSTONE AND TUNBRIDGE WELLS NHS TRUST</t>
  </si>
  <si>
    <t>B5M7B</t>
  </si>
  <si>
    <t>NEWMEDICA - NORWICH</t>
  </si>
  <si>
    <t>NFH</t>
  </si>
  <si>
    <t>SOMERSET SURGICAL SERVICES HQ</t>
  </si>
  <si>
    <t>G3Z1Q</t>
  </si>
  <si>
    <t>SULIS HOSPITAL BATH (FOXCOTE AVENUE)</t>
  </si>
  <si>
    <t>NT3X3</t>
  </si>
  <si>
    <t>SPIRE ST ANTHONY'S HOSPITAL</t>
  </si>
  <si>
    <t>NT213</t>
  </si>
  <si>
    <t>NUFFIELD HEALTH, DERBY HOSPITAL</t>
  </si>
  <si>
    <t>F9Z4V</t>
  </si>
  <si>
    <t>CIRCLE READING HOSPITAL</t>
  </si>
  <si>
    <t>NT457</t>
  </si>
  <si>
    <t>WOODLANDS HOSPITAL</t>
  </si>
  <si>
    <t>NT421</t>
  </si>
  <si>
    <t>KINGS OAK HOSPITAL</t>
  </si>
  <si>
    <t>NN4</t>
  </si>
  <si>
    <t>TYNESIDE SURGICAL SERVICES LTD</t>
  </si>
  <si>
    <t>NT436</t>
  </si>
  <si>
    <t>SHIRLEY OAKS HOSPITAL</t>
  </si>
  <si>
    <t>NDJ</t>
  </si>
  <si>
    <t>FIRST COMMUNITY HEALTH AND CARE CIC</t>
  </si>
  <si>
    <t>RYW</t>
  </si>
  <si>
    <t>BIRMINGHAM COMMUNITY HEALTHCARE NHS FOUNDATION TRUST</t>
  </si>
  <si>
    <t>R1D</t>
  </si>
  <si>
    <t>SHROPSHIRE COMMUNITY HEALTH NHS TRUST</t>
  </si>
  <si>
    <t>ACG31</t>
  </si>
  <si>
    <t>NEWMEDICA - WORCESTER</t>
  </si>
  <si>
    <t>ACG26</t>
  </si>
  <si>
    <t>NEWMEDICA - NORTH DERBYSHIRE - MIDLAND COURT</t>
  </si>
  <si>
    <t>AAV</t>
  </si>
  <si>
    <t>COMMUNITY HEALTH AND EYECARE LIMITED</t>
  </si>
  <si>
    <t>NT416</t>
  </si>
  <si>
    <t>HENDON HOSPITAL</t>
  </si>
  <si>
    <t>L6O7H</t>
  </si>
  <si>
    <t>SPAMEDICA POOLE</t>
  </si>
  <si>
    <t>NVC0I</t>
  </si>
  <si>
    <t>BEACON PARK HOSPITAL</t>
  </si>
  <si>
    <t>NT315</t>
  </si>
  <si>
    <t>SPIRE BUSHEY HOSPITAL</t>
  </si>
  <si>
    <t>NTP13</t>
  </si>
  <si>
    <t>PRACTICE PLUS GROUP HOSPITAL - BARLBOROUGH</t>
  </si>
  <si>
    <t>NVC17</t>
  </si>
  <si>
    <t>ROWLEY HALL HOSPITAL</t>
  </si>
  <si>
    <t>NT350</t>
  </si>
  <si>
    <t>SPIRE METHLEY PARK HOSPITAL</t>
  </si>
  <si>
    <t>Y9S1N</t>
  </si>
  <si>
    <t>FAIRFIELD INDEPENDENT HOSPITAL</t>
  </si>
  <si>
    <t>NT451</t>
  </si>
  <si>
    <t>CAVELL HOSPITAL</t>
  </si>
  <si>
    <t>F7F6D</t>
  </si>
  <si>
    <t>NEWMEDICA - HERTFORSHIRE - WELWYN GARDEN CITY</t>
  </si>
  <si>
    <t>S1Z4X</t>
  </si>
  <si>
    <t>NEWMEDICA - BIRMINGHAM</t>
  </si>
  <si>
    <t>RPY</t>
  </si>
  <si>
    <t>THE ROYAL MARSDEN NHS FOUNDATION TRUST</t>
  </si>
  <si>
    <t>NVC0R</t>
  </si>
  <si>
    <t>TEES VALLEY HOSPITAL</t>
  </si>
  <si>
    <t>AVQ01</t>
  </si>
  <si>
    <t>ONE ASHFORD HOSPITAL</t>
  </si>
  <si>
    <t>RW5</t>
  </si>
  <si>
    <t>LANCASHIRE &amp; SOUTH CUMBRIA NHS FOUNDATION TRUST</t>
  </si>
  <si>
    <t>RBV</t>
  </si>
  <si>
    <t>THE CHRISTIE NHS FOUNDATION TRUST</t>
  </si>
  <si>
    <t>K8I4X</t>
  </si>
  <si>
    <t>GLENDON WOOD HOSPITAL</t>
  </si>
  <si>
    <t>J3J8Z</t>
  </si>
  <si>
    <t>NEWMEDICA - OXFORDSHIRE</t>
  </si>
  <si>
    <t>NVC23</t>
  </si>
  <si>
    <t>WOODLAND HOSPITAL</t>
  </si>
  <si>
    <t>NVC40</t>
  </si>
  <si>
    <t>WOODTHORPE HOSPITAL</t>
  </si>
  <si>
    <t>DPK</t>
  </si>
  <si>
    <t>THE STONEYGATE EYE HOSPITAL</t>
  </si>
  <si>
    <t>DFQ</t>
  </si>
  <si>
    <t>NORWICH &amp; NORFOLK SURGICAL LTD (N2S)</t>
  </si>
  <si>
    <t>RXG</t>
  </si>
  <si>
    <t>SOUTH WEST YORKSHIRE PARTNERSHIP TEACHING NHS FOUNDATION TRUST</t>
  </si>
  <si>
    <t>NWV01</t>
  </si>
  <si>
    <t>COHESE HEALTHCARE</t>
  </si>
  <si>
    <t>ADP02</t>
  </si>
  <si>
    <t>KIMS HOSPITAL (NEWNHAM COURT)</t>
  </si>
  <si>
    <t>ACG24</t>
  </si>
  <si>
    <t>NEWMEDICA - TEESSIDE - NORTH ORMESBY</t>
  </si>
  <si>
    <t>RXW</t>
  </si>
  <si>
    <t>THE SHREWSBURY AND TELFORD HOSPITAL NHS TRUST</t>
  </si>
  <si>
    <t>R0B</t>
  </si>
  <si>
    <t>SOUTH TYNESIDE AND SUNDERLAND NHS FOUNDATION TRUST</t>
  </si>
  <si>
    <t>NT411</t>
  </si>
  <si>
    <t>CLEMENTINE CHURCHILL HOSPITAL</t>
  </si>
  <si>
    <t>NT420</t>
  </si>
  <si>
    <t>HIGHFIELD HOSPITAL</t>
  </si>
  <si>
    <t>RW1</t>
  </si>
  <si>
    <t>HAMPSHIRE AND ISLE OF WIGHT HEALTHCARE NHS FOUNDATION TRUST</t>
  </si>
  <si>
    <t>NT403</t>
  </si>
  <si>
    <t>BEARDWOOD HOSPITAL</t>
  </si>
  <si>
    <t>NT351</t>
  </si>
  <si>
    <t>SPIRE HULL AND EAST RIDING HOSPITAL</t>
  </si>
  <si>
    <t>NT424</t>
  </si>
  <si>
    <t>MERIDEN HOSPITAL</t>
  </si>
  <si>
    <t>NT339</t>
  </si>
  <si>
    <t>SPIRE REGENCY HOSPITAL</t>
  </si>
  <si>
    <t>NT448</t>
  </si>
  <si>
    <t>HUDDERSFIELD PRIVATE HOSPITAL</t>
  </si>
  <si>
    <t>RMP</t>
  </si>
  <si>
    <t>TAMESIDE AND GLOSSOP INTEGRATED CARE NHS FOUNDATION TRUST</t>
  </si>
  <si>
    <t>NT332</t>
  </si>
  <si>
    <t>SPIRE LEEDS HOSPITAL</t>
  </si>
  <si>
    <t>NT324</t>
  </si>
  <si>
    <t>SPIRE CHESHIRE HOSPITAL</t>
  </si>
  <si>
    <t>NT450</t>
  </si>
  <si>
    <t>LINCOLN PRIVATE HOSPITAL</t>
  </si>
  <si>
    <t>NT490</t>
  </si>
  <si>
    <t>SOUTHEND PRIVATE HOSPITAL</t>
  </si>
  <si>
    <t>NTPAD</t>
  </si>
  <si>
    <t>PRACTICE PLUS GROUP SURGICAL CENTRE - ST MARYS PORTSMOUTH</t>
  </si>
  <si>
    <t>NTPAE</t>
  </si>
  <si>
    <t>PRACTICE PLUS GROUP OPHTHALMOLOGY - NORTH WEST</t>
  </si>
  <si>
    <t>NTPH2</t>
  </si>
  <si>
    <t>PRACTICE PLUS GROUP HOSPITAL - EMERSONS GREEN</t>
  </si>
  <si>
    <t>NT237</t>
  </si>
  <si>
    <t>NUFFIELD HEALTH, TEES HOSPITAL</t>
  </si>
  <si>
    <t>NTPH3</t>
  </si>
  <si>
    <t>PRACTICE PLUS GROUP SURGICAL CENTRE - DEVIZES</t>
  </si>
  <si>
    <t>NRP</t>
  </si>
  <si>
    <t>BEACON MEDICAL SERVICES GROUP LIMITED</t>
  </si>
  <si>
    <t>NQT5K</t>
  </si>
  <si>
    <t>ST MARTINS HOSPITAL</t>
  </si>
  <si>
    <t>RRE</t>
  </si>
  <si>
    <t>MIDLANDS PARTNERSHIP UNIVERSITY NHS FOUNDATION TRUST</t>
  </si>
  <si>
    <t>NQH</t>
  </si>
  <si>
    <t>NOVUS HEALTH LTD</t>
  </si>
  <si>
    <t>NPR01</t>
  </si>
  <si>
    <t>ABOUT HEALTH HQ</t>
  </si>
  <si>
    <t>NNH07</t>
  </si>
  <si>
    <t>OPTEGRA LONDON EYE HOSPITAL</t>
  </si>
  <si>
    <t>NNH02</t>
  </si>
  <si>
    <t>OPTEGRA YORKSHIRE EYE HOSPITAL</t>
  </si>
  <si>
    <t>RTF</t>
  </si>
  <si>
    <t>NORTHUMBRIA HEALTHCARE NHS FOUNDATION TRUST</t>
  </si>
  <si>
    <t>NLE01</t>
  </si>
  <si>
    <t>LANCASTER HOUSE CONSULTING DIAGNOSTICS SURGICAL LTD HQ</t>
  </si>
  <si>
    <t>NL8</t>
  </si>
  <si>
    <t>LOCALA COMMUNITY PARTNERSHIPS CIC</t>
  </si>
  <si>
    <t>NCR</t>
  </si>
  <si>
    <t>ISIGHT</t>
  </si>
  <si>
    <t>NVC12</t>
  </si>
  <si>
    <t>OAKLANDS HOSPITAL</t>
  </si>
  <si>
    <t>M4C5R</t>
  </si>
  <si>
    <t>NEWMEDICA - NORTHAMPTON</t>
  </si>
  <si>
    <t>RYY</t>
  </si>
  <si>
    <t>KENT COMMUNITY HEALTH NHS FOUNDATION TRUST</t>
  </si>
  <si>
    <t>Row Labels</t>
  </si>
  <si>
    <t>Grand Total</t>
  </si>
  <si>
    <t>Pathways by signal</t>
  </si>
  <si>
    <t>Over52 by signal</t>
  </si>
  <si>
    <t>RTT within18 rate</t>
  </si>
  <si>
    <t>AE within4 rate</t>
  </si>
  <si>
    <t>Diagnostics six-week rate</t>
  </si>
  <si>
    <t>RTT rate chart</t>
  </si>
  <si>
    <t>AE rate chart</t>
  </si>
  <si>
    <t>Code</t>
  </si>
  <si>
    <t>Provider</t>
  </si>
  <si>
    <t>Signals identify areas for investigation. Account for provider size, specialty mix, code changes and data validation before taking action.</t>
  </si>
  <si>
    <t>KPI</t>
  </si>
  <si>
    <t>Meaning</t>
  </si>
  <si>
    <t>Numerator</t>
  </si>
  <si>
    <t>Denominator</t>
  </si>
  <si>
    <t>Caveat</t>
  </si>
  <si>
    <t>Incomplete RTT pathways</t>
  </si>
  <si>
    <t>Month-end pathways still waiting; counts pathways, not unique people</t>
  </si>
  <si>
    <t>SUM(waiting_count)</t>
  </si>
  <si>
    <t>Not applicable</t>
  </si>
  <si>
    <t>Submitted data; excludes missing-trust estimates; geographic parent is a source ICB, not a hospital site</t>
  </si>
  <si>
    <t>RTT within 18 weeks</t>
  </si>
  <si>
    <t>Incomplete pathways in weekly bands up to and including 18 weeks</t>
  </si>
  <si>
    <t>SUM(within_18)</t>
  </si>
  <si>
    <t>RTT over 18 weeks</t>
  </si>
  <si>
    <t>Incomplete pathways strictly over 18 weeks</t>
  </si>
  <si>
    <t>SUM(over_18)</t>
  </si>
  <si>
    <t>RTT over 52 weeks</t>
  </si>
  <si>
    <t>Incomplete pathways strictly over 52 weeks</t>
  </si>
  <si>
    <t>SUM(over_52)</t>
  </si>
  <si>
    <t>RTT over 65 weeks</t>
  </si>
  <si>
    <t>Incomplete pathways strictly over 65 weeks</t>
  </si>
  <si>
    <t>SUM(over_65)</t>
  </si>
  <si>
    <t>RTT over 78 weeks</t>
  </si>
  <si>
    <t>Incomplete pathways strictly over 78 weeks</t>
  </si>
  <si>
    <t>SUM(over_78)</t>
  </si>
  <si>
    <t>RTT over 104 weeks</t>
  </si>
  <si>
    <t>Incomplete pathways strictly over 104 weeks</t>
  </si>
  <si>
    <t>SUM(over_104)</t>
  </si>
  <si>
    <t>RTT 18-week performance</t>
  </si>
  <si>
    <t>Share of incomplete pathways waiting within 18 weeks</t>
  </si>
  <si>
    <t>Weighted ratio; exactly 18 weeks is included; published 92% standard is a benchmark, not a newly inferred target</t>
  </si>
  <si>
    <t>RTT long-wait share</t>
  </si>
  <si>
    <t>Share strictly over 52 weeks</t>
  </si>
  <si>
    <t>Volume and rate support different operational questions</t>
  </si>
  <si>
    <t>Admitted completed pathways</t>
  </si>
  <si>
    <t>Monthly completed RTT pathways; separate from the month-end incomplete stock</t>
  </si>
  <si>
    <t>SUM(total_all)</t>
  </si>
  <si>
    <t>Includes completed pathways with unknown start; known-start measures use waiting_count</t>
  </si>
  <si>
    <t>Non-admitted completed pathways</t>
  </si>
  <si>
    <t>Completed pathways with unknown start</t>
  </si>
  <si>
    <t>Monthly completions where clock start is unknown</t>
  </si>
  <si>
    <t>SUM(total_all - waiting_count)</t>
  </si>
  <si>
    <t>Unknown-start field is not applicable to incomplete pathways; retain structural NULL there</t>
  </si>
  <si>
    <t>A&amp;E attendances</t>
  </si>
  <si>
    <t>All types including separately published booked fields</t>
  </si>
  <si>
    <t>SUM(attendances)</t>
  </si>
  <si>
    <t>One code can report several sites; DTA waits differ from full attendance duration</t>
  </si>
  <si>
    <t>A&amp;E within four hours</t>
  </si>
  <si>
    <t>Attendance duration at most four hours from arrival to admission, transfer or discharge</t>
  </si>
  <si>
    <t>SUM(within_4)</t>
  </si>
  <si>
    <t>A&amp;E over four hours</t>
  </si>
  <si>
    <t>Attendance duration over four hours</t>
  </si>
  <si>
    <t>SUM(over_4)</t>
  </si>
  <si>
    <t>Type 1 attendances</t>
  </si>
  <si>
    <t>Major emergency departments, booked and unbooked</t>
  </si>
  <si>
    <t>SUM(type1_attendances)</t>
  </si>
  <si>
    <t>Emergency admissions via A&amp;E plus other emergency admissions</t>
  </si>
  <si>
    <t>SUM(emergency_admissions)</t>
  </si>
  <si>
    <t>Emergency admissions via A&amp;E</t>
  </si>
  <si>
    <t>Admissions via reported A&amp;E departments</t>
  </si>
  <si>
    <t>SUM(admissions_via_ae)</t>
  </si>
  <si>
    <t>DTA waits 4â€“12 hours</t>
  </si>
  <si>
    <t>Reported waits from decision to admit to admission</t>
  </si>
  <si>
    <t>SUM(dta_4_12)</t>
  </si>
  <si>
    <t>DTA waits 12+ hours</t>
  </si>
  <si>
    <t>Reported waits of 12 hours or more from decision to admit</t>
  </si>
  <si>
    <t>SUM(dta_12_plus)</t>
  </si>
  <si>
    <t>A&amp;E four-hour performance</t>
  </si>
  <si>
    <t>Weighted eligible all-department four-hour performance</t>
  </si>
  <si>
    <t>Do not average provider percentages or blend Type 1 with other department definitions</t>
  </si>
  <si>
    <t>Type 1 four-hour performance</t>
  </si>
  <si>
    <t>Major emergency department four-hour performance</t>
  </si>
  <si>
    <t>SUM(type1_attendances - type1_over_4)</t>
  </si>
  <si>
    <t>Zero Type 1 denominator returns missing; no estimate for unreported providers</t>
  </si>
  <si>
    <t>Diagnostic waiting list</t>
  </si>
  <si>
    <t>Month-end waits for reported diagnostic tests/procedures</t>
  </si>
  <si>
    <t>Waits and tests are not unique patients; collection definitions may change</t>
  </si>
  <si>
    <t>Diagnostic waits six weeks or more</t>
  </si>
  <si>
    <t>Bands beginning at 6 weeks, inclusive</t>
  </si>
  <si>
    <t>SUM(over_6)</t>
  </si>
  <si>
    <t>Diagnostic waits thirteen weeks or more</t>
  </si>
  <si>
    <t>Published 13+ band</t>
  </si>
  <si>
    <t>SUM(over_13)</t>
  </si>
  <si>
    <t>Tests/procedures performed during the month</t>
  </si>
  <si>
    <t>SUM(total_activity)</t>
  </si>
  <si>
    <t>Diagnostic waiting-list activity</t>
  </si>
  <si>
    <t>Activity from diagnostic waiting list</t>
  </si>
  <si>
    <t>SUM(waiting_activity)</t>
  </si>
  <si>
    <t>Diagnostic planned activity</t>
  </si>
  <si>
    <t>Planned diagnostic activity</t>
  </si>
  <si>
    <t>SUM(planned_activity)</t>
  </si>
  <si>
    <t>Diagnostic unscheduled activity</t>
  </si>
  <si>
    <t>Unscheduled diagnostic activity</t>
  </si>
  <si>
    <t>SUM(unscheduled_activity)</t>
  </si>
  <si>
    <t>Diagnostic six-week rate</t>
  </si>
  <si>
    <t>Share waiting six weeks or more at month end</t>
  </si>
  <si>
    <t>Official operational standard is less than 1%; inclusive 6-week boundary differs from RTT strict-over boundaries</t>
  </si>
  <si>
    <t>Monthly change</t>
  </si>
  <si>
    <t>Difference from immediately preceding reporting month</t>
  </si>
  <si>
    <t>Current month KPI minus prior calendar month KPI</t>
  </si>
  <si>
    <t>Percentage rates use percentage-point difference, not percentage change; missing months remain missing</t>
  </si>
  <si>
    <t>Year-on-year change</t>
  </si>
  <si>
    <t>Difference versus same calendar month one year earlier</t>
  </si>
  <si>
    <t>Current KPI minus KPI at month minus 12 months</t>
  </si>
  <si>
    <t>Prior-year KPI for relative change</t>
  </si>
  <si>
    <t>Changing coverage and revisions can affect comparisons</t>
  </si>
  <si>
    <t>Latest reporting period</t>
  </si>
  <si>
    <t>Most recent retained source reporting month</t>
  </si>
  <si>
    <t>MAX(reporting_month)</t>
  </si>
  <si>
    <t>Never relabel as current live patient data</t>
  </si>
  <si>
    <t>Control</t>
  </si>
  <si>
    <t>Actual evidence</t>
  </si>
  <si>
    <t>Status</t>
  </si>
  <si>
    <t>rtt_consecutive_months</t>
  </si>
  <si>
    <t>PASS</t>
  </si>
  <si>
    <t>rtt_audit_row_counts</t>
  </si>
  <si>
    <t>ae_consecutive_months</t>
  </si>
  <si>
    <t>ae_audit_row_counts</t>
  </si>
  <si>
    <t>diagnostics_consecutive_months</t>
  </si>
  <si>
    <t>diagnostics_audit_row_counts</t>
  </si>
  <si>
    <t>RTT structural blanks resolve to zero only when observed nonnegative bands exhaust an explicit source total. Suppression remains missing. Historical publication dates that are not verified remain blank.</t>
  </si>
  <si>
    <t>Dataset</t>
  </si>
  <si>
    <t>Reporting month</t>
  </si>
  <si>
    <t>Publication date</t>
  </si>
  <si>
    <t>Source URL</t>
  </si>
  <si>
    <t>ae</t>
  </si>
  <si>
    <t>https://www.england.nhs.uk/statistics/wp-content/uploads/sites/2/2024/10/Monthly-AE-September-2024.csv</t>
  </si>
  <si>
    <t>https://www.england.nhs.uk/statistics/wp-content/uploads/sites/2/2025/05/Monthly-AE-October-2024-revised.csv</t>
  </si>
  <si>
    <t>https://www.england.nhs.uk/statistics/wp-content/uploads/sites/2/2025/05/Monthly-AE-November-2024-revised.csv</t>
  </si>
  <si>
    <t>https://www.england.nhs.uk/statistics/wp-content/uploads/sites/2/2025/01/Monthly-AE-December-2024.csv</t>
  </si>
  <si>
    <t>https://www.england.nhs.uk/statistics/wp-content/uploads/sites/2/2025/02/Monthly-AE-January-2025.csv</t>
  </si>
  <si>
    <t>https://www.england.nhs.uk/statistics/wp-content/uploads/sites/2/2025/05/Monthly-AE-February-2025-revised.csv</t>
  </si>
  <si>
    <t>https://www.england.nhs.uk/statistics/wp-content/uploads/sites/2/2025/04/Monthly-AE-March-2025.csv</t>
  </si>
  <si>
    <t>https://www.england.nhs.uk/statistics/wp-content/uploads/sites/2/2025/11/April-2025-CSV-revised.csv</t>
  </si>
  <si>
    <t>https://www.england.nhs.uk/statistics/wp-content/uploads/sites/2/2025/11/May-2025-CSV-revised.csv</t>
  </si>
  <si>
    <t>https://www.england.nhs.uk/statistics/wp-content/uploads/sites/2/2025/11/June-2025-CSV-revised.csv</t>
  </si>
  <si>
    <t>https://www.england.nhs.uk/statistics/wp-content/uploads/sites/2/2025/11/July-2025-CSV-revised.csv</t>
  </si>
  <si>
    <t>https://www.england.nhs.uk/statistics/wp-content/uploads/sites/2/2025/11/August-2025-CSV-revised.csv</t>
  </si>
  <si>
    <t>https://www.england.nhs.uk/statistics/wp-content/uploads/sites/2/2025/11/September-2025-CSV-revised.csv</t>
  </si>
  <si>
    <t>https://www.england.nhs.uk/statistics/wp-content/uploads/sites/2/2026/05/Monthly-AE-October-2025-revised-fly02sk.csv</t>
  </si>
  <si>
    <t>https://www.england.nhs.uk/statistics/wp-content/uploads/sites/2/2026/05/Monthly-AE-Nov-25-CSV-revised.csv</t>
  </si>
  <si>
    <t>https://www.england.nhs.uk/statistics/wp-content/uploads/sites/2/2026/05/Monthly-AE-December-2025-revised-g9Hy6.csv</t>
  </si>
  <si>
    <t>https://www.england.nhs.uk/statistics/wp-content/uploads/sites/2/2026/05/Monthly-AE-January-2026-revised-3dker.csv</t>
  </si>
  <si>
    <t>https://www.england.nhs.uk/statistics/wp-content/uploads/sites/2/2026/03/February-2026-CSV-Dl8t54.csv</t>
  </si>
  <si>
    <t>https://www.england.nhs.uk/statistics/wp-content/uploads/sites/2/2026/05/Monthly-AE-March-2026-revised-flkg42.csv</t>
  </si>
  <si>
    <t>https://www.england.nhs.uk/statistics/wp-content/uploads/sites/2/2026/05/April-2026-CSV-QD21vf.csv</t>
  </si>
  <si>
    <t>https://www.england.nhs.uk/statistics/wp-content/uploads/sites/2/2026/06/May-2026-CSV-F4flrg.csv</t>
  </si>
  <si>
    <t>https://www.england.nhs.uk/statistics/wp-content/uploads/sites/2/2026/07/June-2026-CSV-Wfg38l.csv</t>
  </si>
  <si>
    <t>https://www.england.nhs.uk/statistics/wp-content/uploads/sites/2/2026/08/July-2026-CSV-Trf28h.csv</t>
  </si>
  <si>
    <t>https://www.england.nhs.uk/statistics/wp-content/uploads/sites/2/2026/09/August-2026-CSV-De2k3n.csv</t>
  </si>
  <si>
    <t>https://www.england.nhs.uk/statistics/wp-content/uploads/sites/2/2026/10/September-2026-CSV-Re72Eh.csv</t>
  </si>
  <si>
    <t>diagnostics</t>
  </si>
  <si>
    <t>https://www.england.nhs.uk/statistics/wp-content/uploads/sites/2/2025/07/DM01-SEPTEMBER-2024-full-extract.zip</t>
  </si>
  <si>
    <t>https://www.england.nhs.uk/statistics/wp-content/uploads/sites/2/2025/07/DM01-OCTOBER-2024-full-extract.zip</t>
  </si>
  <si>
    <t>https://www.england.nhs.uk/statistics/wp-content/uploads/sites/2/2025/07/DM01-NOVEMBER-2024-full-extract.zip</t>
  </si>
  <si>
    <t>https://www.england.nhs.uk/statistics/wp-content/uploads/sites/2/2025/07/DM01-DECEMBER-2024-full-extract.zip</t>
  </si>
  <si>
    <t>https://www.england.nhs.uk/statistics/wp-content/uploads/sites/2/2026/04/DM01-JANUARY-2025-full-extract_M0N7G.zip</t>
  </si>
  <si>
    <t>https://www.england.nhs.uk/statistics/wp-content/uploads/sites/2/2026/04/DM01-FEBRUARY-2025-full-extract_M0N7G.zip</t>
  </si>
  <si>
    <t>https://www.england.nhs.uk/statistics/wp-content/uploads/sites/2/2026/04/DM01-MARCH-2025-full-extract_M0N7G.zip</t>
  </si>
  <si>
    <t>https://www.england.nhs.uk/statistics/wp-content/uploads/sites/2/2026/04/DM01-APRIL-2025-full-extract_M0N7G.zip</t>
  </si>
  <si>
    <t>https://www.england.nhs.uk/statistics/wp-content/uploads/sites/2/2026/04/DM01-MAY-2025-full-extract_M0N7G.zip</t>
  </si>
  <si>
    <t>https://www.england.nhs.uk/statistics/wp-content/uploads/sites/2/2026/04/DM01-JUNE-2025-full-extract_M0N7G.zip</t>
  </si>
  <si>
    <t>https://www.england.nhs.uk/statistics/wp-content/uploads/sites/2/2026/04/DM01-JULY-2025-full-extract_M0N7G.zip</t>
  </si>
  <si>
    <t>https://www.england.nhs.uk/statistics/wp-content/uploads/sites/2/2026/04/DM01-AUGUST-2025-full-extract_M0N7G.zip</t>
  </si>
  <si>
    <t>https://www.england.nhs.uk/statistics/wp-content/uploads/sites/2/2026/09/DM01-SEPTEMBER-2025-full-extract_5WSGC.zip</t>
  </si>
  <si>
    <t>https://www.england.nhs.uk/statistics/wp-content/uploads/sites/2/2026/09/DM01-OCTOBER-2025-full-extract_5WSGC.zip</t>
  </si>
  <si>
    <t>https://www.england.nhs.uk/statistics/wp-content/uploads/sites/2/2026/09/DM01-NOVEMBER-2025-full-extract_5WSGC.zip</t>
  </si>
  <si>
    <t>https://www.england.nhs.uk/statistics/wp-content/uploads/sites/2/2026/09/DM01-DECEMBER-2025-full-extract_5WSGC.zip</t>
  </si>
  <si>
    <t>https://www.england.nhs.uk/statistics/wp-content/uploads/sites/2/2026/09/DM01-JANUARY-2026-full-extract_5WSGC.zip</t>
  </si>
  <si>
    <t>https://www.england.nhs.uk/statistics/wp-content/uploads/sites/2/2026/09/DM01-FEBRUARY-2026-full-extract_5WSGC.zip</t>
  </si>
  <si>
    <t>https://www.england.nhs.uk/statistics/wp-content/uploads/sites/2/2026/09/DM01-MARCH-2026-full-extract_5WSGC.zip</t>
  </si>
  <si>
    <t>https://www.england.nhs.uk/statistics/wp-content/uploads/sites/2/2026/06/DM01-APRIL-2026-full-extract.zip</t>
  </si>
  <si>
    <t>https://www.england.nhs.uk/statistics/wp-content/uploads/sites/2/2026/07/DM01-MAY-2026-full-extract_8BN1G.zip</t>
  </si>
  <si>
    <t>https://www.england.nhs.uk/statistics/wp-content/uploads/sites/2/2026/08/DM01-JUNE-2026-full-extract_P1BDL.zip</t>
  </si>
  <si>
    <t>https://www.england.nhs.uk/statistics/wp-content/uploads/sites/2/2026/09/DM01-JULY-2026-full-extract_5WSGC.zip</t>
  </si>
  <si>
    <t>https://www.england.nhs.uk/statistics/wp-content/uploads/sites/2/2026/10/DM01-AUGUST-2026-full-extract_FT0CD.zip</t>
  </si>
  <si>
    <t>rtt</t>
  </si>
  <si>
    <t>https://www.england.nhs.uk/statistics/wp-content/uploads/sites/2/2025/02/Full-CSV-data-file-Sep24-ZIP-4M-revised.zip</t>
  </si>
  <si>
    <t>https://www.england.nhs.uk/statistics/wp-content/uploads/sites/2/2025/07/Full-CSV-data-file-Oct24-ZIP-4M-revised.zip</t>
  </si>
  <si>
    <t>https://www.england.nhs.uk/statistics/wp-content/uploads/sites/2/2025/07/Full-CSV-data-file-Nov24-ZIP-4M-revised.zip</t>
  </si>
  <si>
    <t>https://www.england.nhs.uk/statistics/wp-content/uploads/sites/2/2025/07/Full-CSV-data-file-Dec24-ZIP-4M-revised.zip</t>
  </si>
  <si>
    <t>https://www.england.nhs.uk/statistics/wp-content/uploads/sites/2/2025/07/Full-CSV-data-file-Jan25-ZIP-4M-revised.zip</t>
  </si>
  <si>
    <t>https://www.england.nhs.uk/statistics/wp-content/uploads/sites/2/2025/07/Full-CSV-data-file-Feb25-ZIP-4M-revised.zip</t>
  </si>
  <si>
    <t>https://www.england.nhs.uk/statistics/wp-content/uploads/sites/2/2025/07/Full-CSV-data-file-Mar25-ZIP-4M-revised.zip</t>
  </si>
  <si>
    <t>https://www.england.nhs.uk/statistics/wp-content/uploads/sites/2/2026/02/Full-CSV-data-file-Apr25-ZIP-4M-revised.zip</t>
  </si>
  <si>
    <t>https://www.england.nhs.uk/statistics/wp-content/uploads/sites/2/2026/02/Full-CSV-data-file-May25-ZIP-4M-revised.zip</t>
  </si>
  <si>
    <t>https://www.england.nhs.uk/statistics/wp-content/uploads/sites/2/2026/02/Full-CSV-data-file-Jun25-ZIP-4M-revised.zip</t>
  </si>
  <si>
    <t>https://www.england.nhs.uk/statistics/wp-content/uploads/sites/2/2026/02/Full-CSV-data-file-Jul25-ZIP-4M-revised-2.zip</t>
  </si>
  <si>
    <t>https://www.england.nhs.uk/statistics/wp-content/uploads/sites/2/2026/02/Full-CSV-data-file-Aug25-ZIP-4M-revised-2.zip</t>
  </si>
  <si>
    <t>https://www.england.nhs.uk/statistics/wp-content/uploads/sites/2/2026/02/Full-CSV-data-file-Sep25-ZIP-4M-revised.zip</t>
  </si>
  <si>
    <t>https://www.england.nhs.uk/statistics/wp-content/uploads/sites/2/2025/12/Full-CSV-data-file-Oct25-ZIP-4M-SrRW6y.zip</t>
  </si>
  <si>
    <t>https://www.england.nhs.uk/statistics/wp-content/uploads/sites/2/2026/01/Full-CSV-data-file-Nov25-ZIP-4M-1Xmjkk.zip</t>
  </si>
  <si>
    <t>https://www.england.nhs.uk/statistics/wp-content/uploads/sites/2/2026/07/Full-CSV-data-file-Dec25-ZIP-3M-revised.zip</t>
  </si>
  <si>
    <t>https://www.england.nhs.uk/statistics/wp-content/uploads/sites/2/2026/03/Full-CSV-data-file-Jan26-ZIP-4M-WL5BiP.zip</t>
  </si>
  <si>
    <t>https://www.england.nhs.uk/statistics/wp-content/uploads/sites/2/2026/04/Full-CSV-data-file-Feb26-ZIP-4M-9j03fJT.zip</t>
  </si>
  <si>
    <t>https://www.england.nhs.uk/statistics/wp-content/uploads/sites/2/2026/07/Full-CSV-data-file-Mar26-ZIP-3M-revised.zip</t>
  </si>
  <si>
    <t>https://www.england.nhs.uk/statistics/wp-content/uploads/sites/2/2026/06/Full-CSV-data-file-Apr26-ZIP-3M-X7gGnn.zip</t>
  </si>
  <si>
    <t>https://www.england.nhs.uk/statistics/wp-content/uploads/sites/2/2026/07/Full-CSV-data-file-May26-ZIP-3M-3jBgba.zip</t>
  </si>
  <si>
    <t>https://www.england.nhs.uk/statistics/wp-content/uploads/sites/2/2026/08/Full-CSV-data-file-Jun26-ZIP-3M-6jPlxd.zip</t>
  </si>
  <si>
    <t>https://www.england.nhs.uk/statistics/wp-content/uploads/sites/2/2026/09/Full-CSV-data-file-Jul26-ZIP-4M-97ylx5.zip</t>
  </si>
  <si>
    <t>https://www.england.nhs.uk/statistics/wp-content/uploads/sites/2/2026/10/Full-CSV-data-file-Aug26-ZIP-3M-vjgRdG.zip</t>
  </si>
  <si>
    <t>Scenario input</t>
  </si>
  <si>
    <t>Value</t>
  </si>
  <si>
    <t>Units</t>
  </si>
  <si>
    <t>Current over52</t>
  </si>
  <si>
    <t>pathways</t>
  </si>
  <si>
    <t>Validated submitted count</t>
  </si>
  <si>
    <t>Hypothetical reduction</t>
  </si>
  <si>
    <t>percent</t>
  </si>
  <si>
    <t>Editable planning assumption</t>
  </si>
  <si>
    <t>Illustrative residual</t>
  </si>
  <si>
    <t>Arithmetic scenario, not a forecast or delivered benefit</t>
  </si>
  <si>
    <t>This scenario shows the arithmetic effect of a hypothetical reduction. It does not model capacity, causality, savings or future patient outcomes.</t>
  </si>
  <si>
    <t>LATEST VALIDATED PUBLICATIONS</t>
  </si>
  <si>
    <t>Domain / unit</t>
  </si>
  <si>
    <t>Headline volume</t>
  </si>
  <si>
    <t>Performance</t>
  </si>
  <si>
    <t>RTT · pathways</t>
  </si>
  <si>
    <t>A&amp;E · attendances</t>
  </si>
  <si>
    <t>Diagnostics · waits</t>
  </si>
  <si>
    <t>RTT/A&amp;E: higher performance is better. Diagnostics: lower six-week-or-more rate is better. Different populations and reporting dates; never sum headline volumes.</t>
  </si>
  <si>
    <t>Provider investigation</t>
  </si>
  <si>
    <t>Selected provider</t>
  </si>
  <si>
    <t>Review signals</t>
  </si>
  <si>
    <t>Providers with sustained deterioration</t>
  </si>
  <si>
    <t>Management action: review long-wait concentration, diagnostic test bottlenecks and admission flow with local operational evidence. Signals are proposed investigations, not clinical-quality rankings.</t>
  </si>
  <si>
    <t>Source: NHS England RTT, monthly A&amp;E and DM01. Official URLs, release evidence and checksum lineage are available on Data Quality Summary and in the repository manifest.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</si>
</sst>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–"/>
    <numFmt numFmtId="165" formatCode="0.0%"/>
    <numFmt numFmtId="166" formatCode="[$-809]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FFFFFF"/>
      <name val="Aptos"/>
      <family val="2"/>
    </font>
    <font>
      <b/>
      <sz val="18"/>
      <color rgb="FFFFFFFF"/>
      <name val="Aptos"/>
      <family val="2"/>
    </font>
    <font>
      <sz val="11"/>
      <color rgb="FF506070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"/>
      <family val="2"/>
    </font>
    <font>
      <b/>
      <sz val="20"/>
      <color rgb="FF123047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230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F8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wrapText="1"/>
    </xf>
    <xf numFmtId="164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5" fillId="0" borderId="0" xfId="1" applyNumberFormat="1"/>
    <xf numFmtId="9" fontId="1" fillId="3" borderId="0" xfId="0" applyNumberFormat="1" applyFont="1" applyFill="1"/>
    <xf numFmtId="3" fontId="1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0" fontId="2" fillId="4" borderId="0" xfId="0" applyFont="1" applyFill="1"/>
    <xf numFmtId="0" fontId="1" fillId="0" borderId="0" xfId="0" applyFont="1" applyAlignment="1">
      <alignment wrapText="1"/>
    </xf>
    <xf numFmtId="0" fontId="3" fillId="2" borderId="0" xfId="0" applyFont="1" applyFill="1"/>
    <xf numFmtId="0" fontId="4" fillId="0" borderId="0" xfId="0" applyFont="1"/>
    <xf numFmtId="0" fontId="1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;[Red]\(#,##0\);\–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Published waiting-time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'Monthly Trends'!$D$8</c:f>
              <c:strCache>
                <c:ptCount val="1"/>
                <c:pt idx="0">
                  <c:v>AE within4 rate</c:v>
                </c:pt>
              </c:strCache>
            </c:strRef>
          </c:tx>
          <c:spPr>
            <a:ln>
              <a:solidFill>
                <a:srgbClr val="123047"/>
              </a:solidFill>
            </a:ln>
          </c:spPr>
          <c:marker>
            <c:symbol val="none"/>
          </c:marker>
          <c:cat>
            <c:strLit>
              <c:ptCount val="25"/>
              <c:pt idx="0">
                <c:v>2024-09</c:v>
              </c:pt>
              <c:pt idx="1">
                <c:v>2024-10</c:v>
              </c:pt>
              <c:pt idx="2">
                <c:v>2024-11</c:v>
              </c:pt>
              <c:pt idx="3">
                <c:v>2024-12</c:v>
              </c:pt>
              <c:pt idx="4">
                <c:v>2025-01</c:v>
              </c:pt>
              <c:pt idx="5">
                <c:v>2025-02</c:v>
              </c:pt>
              <c:pt idx="6">
                <c:v>2025-03</c:v>
              </c:pt>
              <c:pt idx="7">
                <c:v>2025-04</c:v>
              </c:pt>
              <c:pt idx="8">
                <c:v>2025-05</c:v>
              </c:pt>
              <c:pt idx="9">
                <c:v>2025-06</c:v>
              </c:pt>
              <c:pt idx="10">
                <c:v>2025-07</c:v>
              </c:pt>
              <c:pt idx="11">
                <c:v>2025-08</c:v>
              </c:pt>
              <c:pt idx="12">
                <c:v>2025-09</c:v>
              </c:pt>
              <c:pt idx="13">
                <c:v>2025-10</c:v>
              </c:pt>
              <c:pt idx="14">
                <c:v>2025-11</c:v>
              </c:pt>
              <c:pt idx="15">
                <c:v>2025-12</c:v>
              </c:pt>
              <c:pt idx="16">
                <c:v>2026-01</c:v>
              </c:pt>
              <c:pt idx="17">
                <c:v>2026-02</c:v>
              </c:pt>
              <c:pt idx="18">
                <c:v>2026-03</c:v>
              </c:pt>
              <c:pt idx="19">
                <c:v>2026-04</c:v>
              </c:pt>
              <c:pt idx="20">
                <c:v>2026-05</c:v>
              </c:pt>
              <c:pt idx="21">
                <c:v>2026-06</c:v>
              </c:pt>
              <c:pt idx="22">
                <c:v>2026-07</c:v>
              </c:pt>
              <c:pt idx="23">
                <c:v>2026-08</c:v>
              </c:pt>
              <c:pt idx="24">
                <c:v>2026-09</c:v>
              </c:pt>
            </c:strLit>
          </c:cat>
          <c:val>
            <c:numRef>
              <c:f>'Source Data'!$R$9:$R$33</c:f>
              <c:numCache>
                <c:formatCode>General</c:formatCode>
                <c:ptCount val="25"/>
                <c:pt idx="0">
                  <c:v>0.74217161190615011</c:v>
                </c:pt>
                <c:pt idx="1">
                  <c:v>0.73084841747806428</c:v>
                </c:pt>
                <c:pt idx="2">
                  <c:v>0.72181574238941026</c:v>
                </c:pt>
                <c:pt idx="3">
                  <c:v>0.71121395572083446</c:v>
                </c:pt>
                <c:pt idx="4">
                  <c:v>0.73006721878338965</c:v>
                </c:pt>
                <c:pt idx="5">
                  <c:v>0.73461343029044512</c:v>
                </c:pt>
                <c:pt idx="6">
                  <c:v>0.74979824734707823</c:v>
                </c:pt>
                <c:pt idx="7">
                  <c:v>0.74783811935209088</c:v>
                </c:pt>
                <c:pt idx="8">
                  <c:v>0.75402383036868381</c:v>
                </c:pt>
                <c:pt idx="9">
                  <c:v>0.7555648731640543</c:v>
                </c:pt>
                <c:pt idx="10">
                  <c:v>0.76407820111205849</c:v>
                </c:pt>
                <c:pt idx="11">
                  <c:v>0.75876215351375009</c:v>
                </c:pt>
                <c:pt idx="12">
                  <c:v>0.75050406411158754</c:v>
                </c:pt>
                <c:pt idx="13">
                  <c:v>0.74185533797588443</c:v>
                </c:pt>
                <c:pt idx="14">
                  <c:v>0.74216951862042757</c:v>
                </c:pt>
                <c:pt idx="15">
                  <c:v>0.73841846940359113</c:v>
                </c:pt>
                <c:pt idx="16">
                  <c:v>0.72451209332487099</c:v>
                </c:pt>
                <c:pt idx="17">
                  <c:v>0.74055302368414844</c:v>
                </c:pt>
                <c:pt idx="18">
                  <c:v>0.77111482597341086</c:v>
                </c:pt>
                <c:pt idx="19">
                  <c:v>0.76909764045897189</c:v>
                </c:pt>
                <c:pt idx="20">
                  <c:v>0.7569286700811183</c:v>
                </c:pt>
                <c:pt idx="21">
                  <c:v>0.75022950023503776</c:v>
                </c:pt>
                <c:pt idx="22">
                  <c:v>0.75374500518576282</c:v>
                </c:pt>
                <c:pt idx="23">
                  <c:v>0.75041518012052277</c:v>
                </c:pt>
                <c:pt idx="24">
                  <c:v>0.7436331753480836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D-4DFD-B589-B618B5F01DFE}"/>
            </c:ext>
          </c:extLst>
        </c:ser>
        <c:ser>
          <c:idx val="0"/>
          <c:order val="0"/>
          <c:tx>
            <c:strRef>
              <c:f>'Monthly Trends'!$C$8</c:f>
              <c:strCache>
                <c:ptCount val="1"/>
                <c:pt idx="0">
                  <c:v>RTT within18 rate</c:v>
                </c:pt>
              </c:strCache>
            </c:strRef>
          </c:tx>
          <c:spPr>
            <a:ln>
              <a:solidFill>
                <a:srgbClr val="007F86"/>
              </a:solidFill>
            </a:ln>
          </c:spPr>
          <c:marker>
            <c:symbol val="none"/>
          </c:marker>
          <c:cat>
            <c:strLit>
              <c:ptCount val="25"/>
              <c:pt idx="0">
                <c:v>2024-09</c:v>
              </c:pt>
              <c:pt idx="1">
                <c:v>2024-10</c:v>
              </c:pt>
              <c:pt idx="2">
                <c:v>2024-11</c:v>
              </c:pt>
              <c:pt idx="3">
                <c:v>2024-12</c:v>
              </c:pt>
              <c:pt idx="4">
                <c:v>2025-01</c:v>
              </c:pt>
              <c:pt idx="5">
                <c:v>2025-02</c:v>
              </c:pt>
              <c:pt idx="6">
                <c:v>2025-03</c:v>
              </c:pt>
              <c:pt idx="7">
                <c:v>2025-04</c:v>
              </c:pt>
              <c:pt idx="8">
                <c:v>2025-05</c:v>
              </c:pt>
              <c:pt idx="9">
                <c:v>2025-06</c:v>
              </c:pt>
              <c:pt idx="10">
                <c:v>2025-07</c:v>
              </c:pt>
              <c:pt idx="11">
                <c:v>2025-08</c:v>
              </c:pt>
              <c:pt idx="12">
                <c:v>2025-09</c:v>
              </c:pt>
              <c:pt idx="13">
                <c:v>2025-10</c:v>
              </c:pt>
              <c:pt idx="14">
                <c:v>2025-11</c:v>
              </c:pt>
              <c:pt idx="15">
                <c:v>2025-12</c:v>
              </c:pt>
              <c:pt idx="16">
                <c:v>2026-01</c:v>
              </c:pt>
              <c:pt idx="17">
                <c:v>2026-02</c:v>
              </c:pt>
              <c:pt idx="18">
                <c:v>2026-03</c:v>
              </c:pt>
              <c:pt idx="19">
                <c:v>2026-04</c:v>
              </c:pt>
              <c:pt idx="20">
                <c:v>2026-05</c:v>
              </c:pt>
              <c:pt idx="21">
                <c:v>2026-06</c:v>
              </c:pt>
              <c:pt idx="22">
                <c:v>2026-07</c:v>
              </c:pt>
              <c:pt idx="23">
                <c:v>2026-08</c:v>
              </c:pt>
              <c:pt idx="24">
                <c:v>2026-09</c:v>
              </c:pt>
            </c:strLit>
          </c:cat>
          <c:val>
            <c:numRef>
              <c:f>'Source Data'!$Q$9:$Q$33</c:f>
              <c:numCache>
                <c:formatCode>General</c:formatCode>
                <c:ptCount val="25"/>
                <c:pt idx="0">
                  <c:v>0.58507209026845097</c:v>
                </c:pt>
                <c:pt idx="1">
                  <c:v>0.58934907193930652</c:v>
                </c:pt>
                <c:pt idx="2">
                  <c:v>0.59154808501274159</c:v>
                </c:pt>
                <c:pt idx="3">
                  <c:v>0.58937342935260684</c:v>
                </c:pt>
                <c:pt idx="4">
                  <c:v>0.58858896377854208</c:v>
                </c:pt>
                <c:pt idx="5">
                  <c:v>0.59179306251336783</c:v>
                </c:pt>
                <c:pt idx="6">
                  <c:v>0.59778437920480387</c:v>
                </c:pt>
                <c:pt idx="7">
                  <c:v>0.59732618403004978</c:v>
                </c:pt>
                <c:pt idx="8">
                  <c:v>0.60931300511830555</c:v>
                </c:pt>
                <c:pt idx="9">
                  <c:v>0.61525120808877942</c:v>
                </c:pt>
                <c:pt idx="10">
                  <c:v>0.61220097539081597</c:v>
                </c:pt>
                <c:pt idx="11">
                  <c:v>0.6097151178088156</c:v>
                </c:pt>
                <c:pt idx="12">
                  <c:v>0.61747979585283763</c:v>
                </c:pt>
                <c:pt idx="13">
                  <c:v>0.61704057767398957</c:v>
                </c:pt>
                <c:pt idx="14">
                  <c:v>0.61640673780313204</c:v>
                </c:pt>
                <c:pt idx="15">
                  <c:v>0.61450528527600889</c:v>
                </c:pt>
                <c:pt idx="16">
                  <c:v>0.61430740649959092</c:v>
                </c:pt>
                <c:pt idx="17">
                  <c:v>0.62544435387073483</c:v>
                </c:pt>
                <c:pt idx="18">
                  <c:v>0.65294764595318355</c:v>
                </c:pt>
                <c:pt idx="19">
                  <c:v>0.64949329682292334</c:v>
                </c:pt>
                <c:pt idx="20">
                  <c:v>0.65555314031778156</c:v>
                </c:pt>
                <c:pt idx="21">
                  <c:v>0.65825829842399408</c:v>
                </c:pt>
                <c:pt idx="22">
                  <c:v>0.65300963236598364</c:v>
                </c:pt>
                <c:pt idx="23">
                  <c:v>0.65206022102874428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D-4DFD-B589-B618B5F01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79615"/>
        <c:axId val="1546286575"/>
      </c:lineChart>
      <c:catAx>
        <c:axId val="166617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286575"/>
        <c:crosses val="autoZero"/>
        <c:auto val="0"/>
        <c:lblAlgn val="ctr"/>
        <c:lblOffset val="100"/>
        <c:tickLblSkip val="4"/>
        <c:noMultiLvlLbl val="0"/>
      </c:catAx>
      <c:valAx>
        <c:axId val="1546286575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666179615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Incomplete pathways by reporting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'RTT Performance'!$C$8</c:f>
              <c:strCache>
                <c:ptCount val="1"/>
                <c:pt idx="0">
                  <c:v>Incomplete pathways</c:v>
                </c:pt>
              </c:strCache>
            </c:strRef>
          </c:tx>
          <c:spPr>
            <a:ln>
              <a:solidFill>
                <a:srgbClr val="007F86"/>
              </a:solidFill>
            </a:ln>
          </c:spPr>
          <c:marker>
            <c:symbol val="none"/>
          </c:marker>
          <c:cat>
            <c:strRef>
              <c:f>'RTT Performance'!$B$9:$B$32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'RTT Performance'!$C$9:$C$32</c:f>
              <c:numCache>
                <c:formatCode>#,##0;[Red]\(#,##0\);\–</c:formatCode>
                <c:ptCount val="24"/>
                <c:pt idx="0">
                  <c:v>7571549</c:v>
                </c:pt>
                <c:pt idx="1">
                  <c:v>7541371</c:v>
                </c:pt>
                <c:pt idx="2">
                  <c:v>7479867</c:v>
                </c:pt>
                <c:pt idx="3">
                  <c:v>7463085</c:v>
                </c:pt>
                <c:pt idx="4">
                  <c:v>7427669</c:v>
                </c:pt>
                <c:pt idx="5">
                  <c:v>7401153</c:v>
                </c:pt>
                <c:pt idx="6">
                  <c:v>7418598</c:v>
                </c:pt>
                <c:pt idx="7">
                  <c:v>7389065</c:v>
                </c:pt>
                <c:pt idx="8">
                  <c:v>7355950</c:v>
                </c:pt>
                <c:pt idx="9">
                  <c:v>7367836</c:v>
                </c:pt>
                <c:pt idx="10">
                  <c:v>7299023</c:v>
                </c:pt>
                <c:pt idx="11">
                  <c:v>7312356</c:v>
                </c:pt>
                <c:pt idx="12">
                  <c:v>7296893</c:v>
                </c:pt>
                <c:pt idx="13">
                  <c:v>7304189</c:v>
                </c:pt>
                <c:pt idx="14">
                  <c:v>7159010</c:v>
                </c:pt>
                <c:pt idx="15">
                  <c:v>7199624</c:v>
                </c:pt>
                <c:pt idx="16">
                  <c:v>7155958</c:v>
                </c:pt>
                <c:pt idx="17">
                  <c:v>7124952</c:v>
                </c:pt>
                <c:pt idx="18">
                  <c:v>7014835</c:v>
                </c:pt>
                <c:pt idx="19">
                  <c:v>7093502</c:v>
                </c:pt>
                <c:pt idx="20">
                  <c:v>7153655</c:v>
                </c:pt>
                <c:pt idx="21">
                  <c:v>7147562</c:v>
                </c:pt>
                <c:pt idx="22">
                  <c:v>7131685</c:v>
                </c:pt>
                <c:pt idx="23">
                  <c:v>7158164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8E-4A8E-82F8-2A7F0A42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22575"/>
        <c:axId val="1546346575"/>
      </c:lineChart>
      <c:catAx>
        <c:axId val="1671422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346575"/>
        <c:crosses val="autoZero"/>
        <c:auto val="1"/>
        <c:lblAlgn val="ctr"/>
        <c:lblOffset val="100"/>
        <c:tickLblSkip val="4"/>
        <c:noMultiLvlLbl val="0"/>
      </c:catAx>
      <c:valAx>
        <c:axId val="1546346575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67142257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Attendances by reporting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'A&amp;E Performance'!$C$8</c:f>
              <c:strCache>
                <c:ptCount val="1"/>
                <c:pt idx="0">
                  <c:v>Attendances</c:v>
                </c:pt>
              </c:strCache>
            </c:strRef>
          </c:tx>
          <c:spPr>
            <a:ln>
              <a:solidFill>
                <a:srgbClr val="007F86"/>
              </a:solidFill>
            </a:ln>
          </c:spPr>
          <c:marker>
            <c:symbol val="none"/>
          </c:marker>
          <c:cat>
            <c:strRef>
              <c:f>'A&amp;E Performance'!$B$9:$B$33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'A&amp;E Performance'!$C$9:$C$33</c:f>
              <c:numCache>
                <c:formatCode>#,##0;[Red]\(#,##0\);\–</c:formatCode>
                <c:ptCount val="25"/>
                <c:pt idx="0">
                  <c:v>2214217</c:v>
                </c:pt>
                <c:pt idx="1">
                  <c:v>2360536</c:v>
                </c:pt>
                <c:pt idx="2">
                  <c:v>2314998</c:v>
                </c:pt>
                <c:pt idx="3">
                  <c:v>2345934</c:v>
                </c:pt>
                <c:pt idx="4">
                  <c:v>2218130</c:v>
                </c:pt>
                <c:pt idx="5">
                  <c:v>2088071</c:v>
                </c:pt>
                <c:pt idx="6">
                  <c:v>2389064</c:v>
                </c:pt>
                <c:pt idx="7">
                  <c:v>2297421</c:v>
                </c:pt>
                <c:pt idx="8">
                  <c:v>2397529</c:v>
                </c:pt>
                <c:pt idx="9">
                  <c:v>2351581</c:v>
                </c:pt>
                <c:pt idx="10">
                  <c:v>2408866</c:v>
                </c:pt>
                <c:pt idx="11">
                  <c:v>2266937</c:v>
                </c:pt>
                <c:pt idx="12">
                  <c:v>2310222</c:v>
                </c:pt>
                <c:pt idx="13">
                  <c:v>2401266</c:v>
                </c:pt>
                <c:pt idx="14">
                  <c:v>2347046</c:v>
                </c:pt>
                <c:pt idx="15">
                  <c:v>2326139</c:v>
                </c:pt>
                <c:pt idx="16">
                  <c:v>2319296</c:v>
                </c:pt>
                <c:pt idx="17">
                  <c:v>2117450</c:v>
                </c:pt>
                <c:pt idx="18">
                  <c:v>2432272</c:v>
                </c:pt>
                <c:pt idx="19">
                  <c:v>2345329</c:v>
                </c:pt>
                <c:pt idx="20">
                  <c:v>2457398</c:v>
                </c:pt>
                <c:pt idx="21">
                  <c:v>2437906</c:v>
                </c:pt>
                <c:pt idx="22">
                  <c:v>2487580</c:v>
                </c:pt>
                <c:pt idx="23">
                  <c:v>2342959</c:v>
                </c:pt>
                <c:pt idx="24">
                  <c:v>2444743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AB-4E31-ACC6-BC738DBE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23967"/>
        <c:axId val="1546358095"/>
      </c:lineChart>
      <c:catAx>
        <c:axId val="1671423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358095"/>
        <c:crosses val="autoZero"/>
        <c:auto val="1"/>
        <c:lblAlgn val="ctr"/>
        <c:lblOffset val="100"/>
        <c:tickLblSkip val="4"/>
        <c:noMultiLvlLbl val="0"/>
      </c:catAx>
      <c:valAx>
        <c:axId val="1546358095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67142396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Waiting list by reporting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'Diagnostics Performance'!$C$8</c:f>
              <c:strCache>
                <c:ptCount val="1"/>
                <c:pt idx="0">
                  <c:v>Waiting list</c:v>
                </c:pt>
              </c:strCache>
            </c:strRef>
          </c:tx>
          <c:spPr>
            <a:ln>
              <a:solidFill>
                <a:srgbClr val="007F86"/>
              </a:solidFill>
            </a:ln>
          </c:spPr>
          <c:marker>
            <c:symbol val="none"/>
          </c:marker>
          <c:cat>
            <c:strRef>
              <c:f>'Diagnostics Performance'!$B$9:$B$32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'Diagnostics Performance'!$C$9:$C$32</c:f>
              <c:numCache>
                <c:formatCode>#,##0;[Red]\(#,##0\);\–</c:formatCode>
                <c:ptCount val="24"/>
                <c:pt idx="0">
                  <c:v>1592553</c:v>
                </c:pt>
                <c:pt idx="1">
                  <c:v>1636424</c:v>
                </c:pt>
                <c:pt idx="2">
                  <c:v>1620824</c:v>
                </c:pt>
                <c:pt idx="3">
                  <c:v>1568661</c:v>
                </c:pt>
                <c:pt idx="4">
                  <c:v>1627995</c:v>
                </c:pt>
                <c:pt idx="5">
                  <c:v>1674823</c:v>
                </c:pt>
                <c:pt idx="6">
                  <c:v>1709380</c:v>
                </c:pt>
                <c:pt idx="7">
                  <c:v>1703100</c:v>
                </c:pt>
                <c:pt idx="8">
                  <c:v>1715934</c:v>
                </c:pt>
                <c:pt idx="9">
                  <c:v>1739272</c:v>
                </c:pt>
                <c:pt idx="10">
                  <c:v>1753665</c:v>
                </c:pt>
                <c:pt idx="11">
                  <c:v>1683852</c:v>
                </c:pt>
                <c:pt idx="12">
                  <c:v>1736880</c:v>
                </c:pt>
                <c:pt idx="13">
                  <c:v>1794463</c:v>
                </c:pt>
                <c:pt idx="14">
                  <c:v>1768507</c:v>
                </c:pt>
                <c:pt idx="15">
                  <c:v>1749804</c:v>
                </c:pt>
                <c:pt idx="16">
                  <c:v>1819211</c:v>
                </c:pt>
                <c:pt idx="17">
                  <c:v>1869091</c:v>
                </c:pt>
                <c:pt idx="18">
                  <c:v>1924199</c:v>
                </c:pt>
                <c:pt idx="19">
                  <c:v>1951404</c:v>
                </c:pt>
                <c:pt idx="20">
                  <c:v>1910025</c:v>
                </c:pt>
                <c:pt idx="21">
                  <c:v>1930725</c:v>
                </c:pt>
                <c:pt idx="22">
                  <c:v>1921259</c:v>
                </c:pt>
                <c:pt idx="23">
                  <c:v>1833070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8-464C-85A6-0C53DD972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18863"/>
        <c:axId val="1546353295"/>
      </c:lineChart>
      <c:catAx>
        <c:axId val="167141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353295"/>
        <c:crosses val="autoZero"/>
        <c:auto val="1"/>
        <c:lblAlgn val="ctr"/>
        <c:lblOffset val="100"/>
        <c:tickLblSkip val="4"/>
        <c:noMultiLvlLbl val="0"/>
      </c:catAx>
      <c:valAx>
        <c:axId val="1546353295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6714188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Published RTT and A&amp;E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'Monthly Trends'!$D$8</c:f>
              <c:strCache>
                <c:ptCount val="1"/>
                <c:pt idx="0">
                  <c:v>AE within4 rate</c:v>
                </c:pt>
              </c:strCache>
            </c:strRef>
          </c:tx>
          <c:spPr>
            <a:ln>
              <a:solidFill>
                <a:srgbClr val="123047"/>
              </a:solidFill>
            </a:ln>
          </c:spPr>
          <c:marker>
            <c:symbol val="none"/>
          </c:marker>
          <c:cat>
            <c:strLit>
              <c:ptCount val="25"/>
              <c:pt idx="0">
                <c:v>2024-09</c:v>
              </c:pt>
              <c:pt idx="1">
                <c:v>2024-10</c:v>
              </c:pt>
              <c:pt idx="2">
                <c:v>2024-11</c:v>
              </c:pt>
              <c:pt idx="3">
                <c:v>2024-12</c:v>
              </c:pt>
              <c:pt idx="4">
                <c:v>2025-01</c:v>
              </c:pt>
              <c:pt idx="5">
                <c:v>2025-02</c:v>
              </c:pt>
              <c:pt idx="6">
                <c:v>2025-03</c:v>
              </c:pt>
              <c:pt idx="7">
                <c:v>2025-04</c:v>
              </c:pt>
              <c:pt idx="8">
                <c:v>2025-05</c:v>
              </c:pt>
              <c:pt idx="9">
                <c:v>2025-06</c:v>
              </c:pt>
              <c:pt idx="10">
                <c:v>2025-07</c:v>
              </c:pt>
              <c:pt idx="11">
                <c:v>2025-08</c:v>
              </c:pt>
              <c:pt idx="12">
                <c:v>2025-09</c:v>
              </c:pt>
              <c:pt idx="13">
                <c:v>2025-10</c:v>
              </c:pt>
              <c:pt idx="14">
                <c:v>2025-11</c:v>
              </c:pt>
              <c:pt idx="15">
                <c:v>2025-12</c:v>
              </c:pt>
              <c:pt idx="16">
                <c:v>2026-01</c:v>
              </c:pt>
              <c:pt idx="17">
                <c:v>2026-02</c:v>
              </c:pt>
              <c:pt idx="18">
                <c:v>2026-03</c:v>
              </c:pt>
              <c:pt idx="19">
                <c:v>2026-04</c:v>
              </c:pt>
              <c:pt idx="20">
                <c:v>2026-05</c:v>
              </c:pt>
              <c:pt idx="21">
                <c:v>2026-06</c:v>
              </c:pt>
              <c:pt idx="22">
                <c:v>2026-07</c:v>
              </c:pt>
              <c:pt idx="23">
                <c:v>2026-08</c:v>
              </c:pt>
              <c:pt idx="24">
                <c:v>2026-09</c:v>
              </c:pt>
            </c:strLit>
          </c:cat>
          <c:val>
            <c:numRef>
              <c:f>'Source Data'!$R$9:$R$33</c:f>
              <c:numCache>
                <c:formatCode>General</c:formatCode>
                <c:ptCount val="25"/>
                <c:pt idx="0">
                  <c:v>0.74217161190615011</c:v>
                </c:pt>
                <c:pt idx="1">
                  <c:v>0.73084841747806428</c:v>
                </c:pt>
                <c:pt idx="2">
                  <c:v>0.72181574238941026</c:v>
                </c:pt>
                <c:pt idx="3">
                  <c:v>0.71121395572083446</c:v>
                </c:pt>
                <c:pt idx="4">
                  <c:v>0.73006721878338965</c:v>
                </c:pt>
                <c:pt idx="5">
                  <c:v>0.73461343029044512</c:v>
                </c:pt>
                <c:pt idx="6">
                  <c:v>0.74979824734707823</c:v>
                </c:pt>
                <c:pt idx="7">
                  <c:v>0.74783811935209088</c:v>
                </c:pt>
                <c:pt idx="8">
                  <c:v>0.75402383036868381</c:v>
                </c:pt>
                <c:pt idx="9">
                  <c:v>0.7555648731640543</c:v>
                </c:pt>
                <c:pt idx="10">
                  <c:v>0.76407820111205849</c:v>
                </c:pt>
                <c:pt idx="11">
                  <c:v>0.75876215351375009</c:v>
                </c:pt>
                <c:pt idx="12">
                  <c:v>0.75050406411158754</c:v>
                </c:pt>
                <c:pt idx="13">
                  <c:v>0.74185533797588443</c:v>
                </c:pt>
                <c:pt idx="14">
                  <c:v>0.74216951862042757</c:v>
                </c:pt>
                <c:pt idx="15">
                  <c:v>0.73841846940359113</c:v>
                </c:pt>
                <c:pt idx="16">
                  <c:v>0.72451209332487099</c:v>
                </c:pt>
                <c:pt idx="17">
                  <c:v>0.74055302368414844</c:v>
                </c:pt>
                <c:pt idx="18">
                  <c:v>0.77111482597341086</c:v>
                </c:pt>
                <c:pt idx="19">
                  <c:v>0.76909764045897189</c:v>
                </c:pt>
                <c:pt idx="20">
                  <c:v>0.7569286700811183</c:v>
                </c:pt>
                <c:pt idx="21">
                  <c:v>0.75022950023503776</c:v>
                </c:pt>
                <c:pt idx="22">
                  <c:v>0.75374500518576282</c:v>
                </c:pt>
                <c:pt idx="23">
                  <c:v>0.75041518012052277</c:v>
                </c:pt>
                <c:pt idx="24">
                  <c:v>0.7436331753480836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24-4EB6-B8F3-7B7C22721132}"/>
            </c:ext>
          </c:extLst>
        </c:ser>
        <c:ser>
          <c:idx val="0"/>
          <c:order val="0"/>
          <c:tx>
            <c:strRef>
              <c:f>'Monthly Trends'!$C$8</c:f>
              <c:strCache>
                <c:ptCount val="1"/>
                <c:pt idx="0">
                  <c:v>RTT within18 rate</c:v>
                </c:pt>
              </c:strCache>
            </c:strRef>
          </c:tx>
          <c:spPr>
            <a:ln>
              <a:solidFill>
                <a:srgbClr val="007F86"/>
              </a:solidFill>
            </a:ln>
          </c:spPr>
          <c:marker>
            <c:symbol val="none"/>
          </c:marker>
          <c:cat>
            <c:strLit>
              <c:ptCount val="25"/>
              <c:pt idx="0">
                <c:v>2024-09</c:v>
              </c:pt>
              <c:pt idx="1">
                <c:v>2024-10</c:v>
              </c:pt>
              <c:pt idx="2">
                <c:v>2024-11</c:v>
              </c:pt>
              <c:pt idx="3">
                <c:v>2024-12</c:v>
              </c:pt>
              <c:pt idx="4">
                <c:v>2025-01</c:v>
              </c:pt>
              <c:pt idx="5">
                <c:v>2025-02</c:v>
              </c:pt>
              <c:pt idx="6">
                <c:v>2025-03</c:v>
              </c:pt>
              <c:pt idx="7">
                <c:v>2025-04</c:v>
              </c:pt>
              <c:pt idx="8">
                <c:v>2025-05</c:v>
              </c:pt>
              <c:pt idx="9">
                <c:v>2025-06</c:v>
              </c:pt>
              <c:pt idx="10">
                <c:v>2025-07</c:v>
              </c:pt>
              <c:pt idx="11">
                <c:v>2025-08</c:v>
              </c:pt>
              <c:pt idx="12">
                <c:v>2025-09</c:v>
              </c:pt>
              <c:pt idx="13">
                <c:v>2025-10</c:v>
              </c:pt>
              <c:pt idx="14">
                <c:v>2025-11</c:v>
              </c:pt>
              <c:pt idx="15">
                <c:v>2025-12</c:v>
              </c:pt>
              <c:pt idx="16">
                <c:v>2026-01</c:v>
              </c:pt>
              <c:pt idx="17">
                <c:v>2026-02</c:v>
              </c:pt>
              <c:pt idx="18">
                <c:v>2026-03</c:v>
              </c:pt>
              <c:pt idx="19">
                <c:v>2026-04</c:v>
              </c:pt>
              <c:pt idx="20">
                <c:v>2026-05</c:v>
              </c:pt>
              <c:pt idx="21">
                <c:v>2026-06</c:v>
              </c:pt>
              <c:pt idx="22">
                <c:v>2026-07</c:v>
              </c:pt>
              <c:pt idx="23">
                <c:v>2026-08</c:v>
              </c:pt>
              <c:pt idx="24">
                <c:v>2026-09</c:v>
              </c:pt>
            </c:strLit>
          </c:cat>
          <c:val>
            <c:numRef>
              <c:f>'Source Data'!$Q$9:$Q$33</c:f>
              <c:numCache>
                <c:formatCode>General</c:formatCode>
                <c:ptCount val="25"/>
                <c:pt idx="0">
                  <c:v>0.58507209026845097</c:v>
                </c:pt>
                <c:pt idx="1">
                  <c:v>0.58934907193930652</c:v>
                </c:pt>
                <c:pt idx="2">
                  <c:v>0.59154808501274159</c:v>
                </c:pt>
                <c:pt idx="3">
                  <c:v>0.58937342935260684</c:v>
                </c:pt>
                <c:pt idx="4">
                  <c:v>0.58858896377854208</c:v>
                </c:pt>
                <c:pt idx="5">
                  <c:v>0.59179306251336783</c:v>
                </c:pt>
                <c:pt idx="6">
                  <c:v>0.59778437920480387</c:v>
                </c:pt>
                <c:pt idx="7">
                  <c:v>0.59732618403004978</c:v>
                </c:pt>
                <c:pt idx="8">
                  <c:v>0.60931300511830555</c:v>
                </c:pt>
                <c:pt idx="9">
                  <c:v>0.61525120808877942</c:v>
                </c:pt>
                <c:pt idx="10">
                  <c:v>0.61220097539081597</c:v>
                </c:pt>
                <c:pt idx="11">
                  <c:v>0.6097151178088156</c:v>
                </c:pt>
                <c:pt idx="12">
                  <c:v>0.61747979585283763</c:v>
                </c:pt>
                <c:pt idx="13">
                  <c:v>0.61704057767398957</c:v>
                </c:pt>
                <c:pt idx="14">
                  <c:v>0.61640673780313204</c:v>
                </c:pt>
                <c:pt idx="15">
                  <c:v>0.61450528527600889</c:v>
                </c:pt>
                <c:pt idx="16">
                  <c:v>0.61430740649959092</c:v>
                </c:pt>
                <c:pt idx="17">
                  <c:v>0.62544435387073483</c:v>
                </c:pt>
                <c:pt idx="18">
                  <c:v>0.65294764595318355</c:v>
                </c:pt>
                <c:pt idx="19">
                  <c:v>0.64949329682292334</c:v>
                </c:pt>
                <c:pt idx="20">
                  <c:v>0.65555314031778156</c:v>
                </c:pt>
                <c:pt idx="21">
                  <c:v>0.65825829842399408</c:v>
                </c:pt>
                <c:pt idx="22">
                  <c:v>0.65300963236598364</c:v>
                </c:pt>
                <c:pt idx="23">
                  <c:v>0.65206022102874428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4-4EB6-B8F3-7B7C22721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19791"/>
        <c:axId val="1546372495"/>
      </c:lineChart>
      <c:catAx>
        <c:axId val="1671419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372495"/>
        <c:crosses val="autoZero"/>
        <c:auto val="0"/>
        <c:lblAlgn val="ctr"/>
        <c:lblOffset val="100"/>
        <c:tickLblSkip val="4"/>
        <c:noMultiLvlLbl val="0"/>
      </c:catAx>
      <c:valAx>
        <c:axId val="1546372495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671419791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0</xdr:rowOff>
    </xdr:from>
    <xdr:to>
      <xdr:col>13</xdr:col>
      <xdr:colOff>863600</xdr:colOff>
      <xdr:row>32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960D5-47D4-D572-7174-772127BB1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228600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5F16D-A7DF-FA44-5FA3-88EEEC247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228600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A629E-9F70-69A9-FB42-240035C91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228600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45996-2509-AFA6-CE07-33E1FCF5B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15</xdr:col>
      <xdr:colOff>228600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1813A-64A5-C089-00DD-5F86E2FCD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e" refreshedDate="46322.015901736107" createdVersion="8" refreshedVersion="8" minRefreshableVersion="3" recordCount="270" xr:uid="{94D54C33-6C48-43D9-9BF1-4FDD16A3B01A}">
  <cacheSource type="worksheet">
    <worksheetSource ref="B8:H278" sheet="Provider Comparisons"/>
  </cacheSource>
  <cacheFields count="7">
    <cacheField name="Provider code" numFmtId="49">
      <sharedItems/>
    </cacheField>
    <cacheField name="Provider name" numFmtId="164">
      <sharedItems/>
    </cacheField>
    <cacheField name="RTT pathways" numFmtId="164">
      <sharedItems containsSemiMixedTypes="0" containsString="0" containsNumber="1" containsInteger="1" minValue="1002" maxValue="167070"/>
    </cacheField>
    <cacheField name="Within18" numFmtId="164">
      <sharedItems containsSemiMixedTypes="0" containsString="0" containsNumber="1" containsInteger="1" minValue="576" maxValue="106784"/>
    </cacheField>
    <cacheField name="Over52" numFmtId="164">
      <sharedItems containsSemiMixedTypes="0" containsString="0" containsNumber="1" containsInteger="1" minValue="0" maxValue="13426"/>
    </cacheField>
    <cacheField name="Review signal" numFmtId="164">
      <sharedItems count="3">
        <s v="Review long-wait volume"/>
        <s v="Review sustained deterioration"/>
        <s v="Monitor"/>
      </sharedItems>
    </cacheField>
    <cacheField name="Within18 rate" numFmtId="165">
      <sharedItems containsSemiMixedTypes="0" containsString="0" containsNumber="1" minValue="0.45001113337786686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RAJ"/>
    <s v="MID AND SOUTH ESSEX NHS FOUNDATION TRUST"/>
    <n v="165234"/>
    <n v="83209"/>
    <n v="13426"/>
    <x v="0"/>
    <n v="0.50358279772928094"/>
  </r>
  <r>
    <s v="RYR"/>
    <s v="UNIVERSITY HOSPITALS SUSSEX NHS FOUNDATION TRUST"/>
    <n v="118139"/>
    <n v="62176"/>
    <n v="5634"/>
    <x v="1"/>
    <n v="0.52629529621886084"/>
  </r>
  <r>
    <s v="RM3"/>
    <s v="NORTHERN CARE ALLIANCE NHS FOUNDATION TRUST"/>
    <n v="136819"/>
    <n v="76293"/>
    <n v="3928"/>
    <x v="1"/>
    <n v="0.55761992120977355"/>
  </r>
  <r>
    <s v="RWA"/>
    <s v="HULL UNIVERSITY TEACHING HOSPITALS NHS TRUST"/>
    <n v="86732"/>
    <n v="48083"/>
    <n v="3500"/>
    <x v="1"/>
    <n v="0.55438592445694779"/>
  </r>
  <r>
    <s v="RVV"/>
    <s v="EAST KENT HOSPITALS UNIVERSITY NHS FOUNDATION TRUST"/>
    <n v="85362"/>
    <n v="47313"/>
    <n v="2623"/>
    <x v="0"/>
    <n v="0.55426302101637726"/>
  </r>
  <r>
    <s v="RWE"/>
    <s v="UNIVERSITY HOSPITALS OF LEICESTER NHS TRUST"/>
    <n v="114859"/>
    <n v="69201"/>
    <n v="2454"/>
    <x v="0"/>
    <n v="0.60248652695914118"/>
  </r>
  <r>
    <s v="RX1"/>
    <s v="NOTTINGHAM UNIVERSITY HOSPITALS NHS TRUST"/>
    <n v="86339"/>
    <n v="53655"/>
    <n v="2404"/>
    <x v="0"/>
    <n v="0.62144569661450788"/>
  </r>
  <r>
    <s v="RTG"/>
    <s v="UNIVERSITY HOSPITALS OF DERBY AND BURTON NHS FOUNDATION TRUST"/>
    <n v="100816"/>
    <n v="61257"/>
    <n v="2176"/>
    <x v="0"/>
    <n v="0.60761188700206314"/>
  </r>
  <r>
    <s v="RKB"/>
    <s v="UNIVERSITY HOSPITALS COVENTRY AND WARWICKSHIRE NHS TRUST"/>
    <n v="66585"/>
    <n v="39135"/>
    <n v="2173"/>
    <x v="0"/>
    <n v="0.58774498760982208"/>
  </r>
  <r>
    <s v="RJZ"/>
    <s v="KING'S COLLEGE HOSPITAL NHS FOUNDATION TRUST"/>
    <n v="91060"/>
    <n v="60305"/>
    <n v="2004"/>
    <x v="0"/>
    <n v="0.66225565561168465"/>
  </r>
  <r>
    <s v="RHU"/>
    <s v="PORTSMOUTH HOSPITALS UNIVERSITY NHS TRUST"/>
    <n v="57574"/>
    <n v="34910"/>
    <n v="1863"/>
    <x v="0"/>
    <n v="0.6063500885816514"/>
  </r>
  <r>
    <s v="RM1"/>
    <s v="NORFOLK AND NORWICH UNIVERSITY HOSPITALS NHS FOUNDATION TRUST"/>
    <n v="66055"/>
    <n v="41962"/>
    <n v="1802"/>
    <x v="0"/>
    <n v="0.6352584967072894"/>
  </r>
  <r>
    <s v="RBN"/>
    <s v="MERSEY AND WEST LANCASHIRE TEACHING HOSPITALS NHS TRUST"/>
    <n v="83764"/>
    <n v="54482"/>
    <n v="1752"/>
    <x v="1"/>
    <n v="0.65042261592092065"/>
  </r>
  <r>
    <s v="RJE"/>
    <s v="UNIVERSITY HOSPITALS OF NORTH MIDLANDS NHS TRUST"/>
    <n v="75383"/>
    <n v="45220"/>
    <n v="1735"/>
    <x v="1"/>
    <n v="0.59986999721422607"/>
  </r>
  <r>
    <s v="RH5"/>
    <s v="SOMERSET NHS FOUNDATION TRUST"/>
    <n v="55374"/>
    <n v="35493"/>
    <n v="1702"/>
    <x v="1"/>
    <n v="0.6409686856647524"/>
  </r>
  <r>
    <s v="RH8"/>
    <s v="ROYAL DEVON UNIVERSITY HEALTHCARE NHS FOUNDATION TRUST"/>
    <n v="74495"/>
    <n v="46755"/>
    <n v="1684"/>
    <x v="0"/>
    <n v="0.62762601516880323"/>
  </r>
  <r>
    <s v="RJL"/>
    <s v="NORTHERN LINCOLNSHIRE AND GOOLE NHS FOUNDATION TRUST"/>
    <n v="43136"/>
    <n v="25264"/>
    <n v="1584"/>
    <x v="1"/>
    <n v="0.58568249258160232"/>
  </r>
  <r>
    <s v="RP5"/>
    <s v="DONCASTER AND BASSETLAW TEACHING HOSPITALS NHS FOUNDATION TRUST"/>
    <n v="55381"/>
    <n v="35171"/>
    <n v="1553"/>
    <x v="0"/>
    <n v="0.63507340062476303"/>
  </r>
  <r>
    <s v="RHM"/>
    <s v="UNIVERSITY HOSPITAL SOUTHAMPTON NHS FOUNDATION TRUST"/>
    <n v="64765"/>
    <n v="41436"/>
    <n v="1542"/>
    <x v="1"/>
    <n v="0.639790010036285"/>
  </r>
  <r>
    <s v="RTH"/>
    <s v="OXFORD UNIVERSITY HOSPITALS NHS FOUNDATION TRUST"/>
    <n v="89879"/>
    <n v="55907"/>
    <n v="1516"/>
    <x v="0"/>
    <n v="0.62202516716919409"/>
  </r>
  <r>
    <s v="RR8"/>
    <s v="LEEDS TEACHING HOSPITALS NHS TRUST"/>
    <n v="89297"/>
    <n v="60269"/>
    <n v="1484"/>
    <x v="0"/>
    <n v="0.67492748916536949"/>
  </r>
  <r>
    <s v="RXP"/>
    <s v="COUNTY DURHAM AND DARLINGTON NHS FOUNDATION TRUST"/>
    <n v="54387"/>
    <n v="34911"/>
    <n v="1410"/>
    <x v="1"/>
    <n v="0.64189971868277351"/>
  </r>
  <r>
    <s v="RAL"/>
    <s v="ROYAL FREE LONDON NHS FOUNDATION TRUST"/>
    <n v="137873"/>
    <n v="86423"/>
    <n v="1334"/>
    <x v="1"/>
    <n v="0.62683048892821658"/>
  </r>
  <r>
    <s v="R0A"/>
    <s v="MANCHESTER UNIVERSITY NHS FOUNDATION TRUST"/>
    <n v="167070"/>
    <n v="106784"/>
    <n v="1332"/>
    <x v="0"/>
    <n v="0.63915723948045733"/>
  </r>
  <r>
    <s v="RTP"/>
    <s v="SURREY AND SUSSEX HEALTHCARE NHS TRUST"/>
    <n v="51577"/>
    <n v="33023"/>
    <n v="1304"/>
    <x v="1"/>
    <n v="0.64026601004323636"/>
  </r>
  <r>
    <s v="RCB"/>
    <s v="YORK AND SCARBOROUGH TEACHING HOSPITALS NHS FOUNDATION TRUST"/>
    <n v="57604"/>
    <n v="33735"/>
    <n v="1257"/>
    <x v="0"/>
    <n v="0.58563641413790712"/>
  </r>
  <r>
    <s v="RF4"/>
    <s v="BARKING, HAVERING AND REDBRIDGE UNIVERSITY HOSPITALS NHS TRUST"/>
    <n v="65757"/>
    <n v="44875"/>
    <n v="1257"/>
    <x v="0"/>
    <n v="0.68243685082956951"/>
  </r>
  <r>
    <s v="RC9"/>
    <s v="BEDFORDSHIRE HOSPITALS NHS FOUNDATION TRUST"/>
    <n v="86990"/>
    <n v="51927"/>
    <n v="1215"/>
    <x v="0"/>
    <n v="0.59693068168755026"/>
  </r>
  <r>
    <s v="RN5"/>
    <s v="HAMPSHIRE HOSPITALS NHS FOUNDATION TRUST"/>
    <n v="49602"/>
    <n v="31476"/>
    <n v="1188"/>
    <x v="0"/>
    <n v="0.63457118664569978"/>
  </r>
  <r>
    <s v="RXL"/>
    <s v="BLACKPOOL TEACHING HOSPITALS NHS FOUNDATION TRUST"/>
    <n v="41103"/>
    <n v="24098"/>
    <n v="1109"/>
    <x v="0"/>
    <n v="0.58628323966620444"/>
  </r>
  <r>
    <s v="RRF"/>
    <s v="WRIGHTINGTON, WIGAN AND LEIGH TEACHING HOSPITALS NHS FOUNDATION TRUST"/>
    <n v="46291"/>
    <n v="28003"/>
    <n v="1106"/>
    <x v="0"/>
    <n v="0.60493400445010914"/>
  </r>
  <r>
    <s v="RWD"/>
    <s v="UNITED LINCOLNSHIRE TEACHING HOSPITALS NHS TRUST"/>
    <n v="69984"/>
    <n v="44090"/>
    <n v="1088"/>
    <x v="0"/>
    <n v="0.63000114311842703"/>
  </r>
  <r>
    <s v="RDU"/>
    <s v="FRIMLEY HEALTH NHS FOUNDATION TRUST"/>
    <n v="66684"/>
    <n v="40771"/>
    <n v="1078"/>
    <x v="1"/>
    <n v="0.61140603443104791"/>
  </r>
  <r>
    <s v="RL4"/>
    <s v="THE ROYAL WOLVERHAMPTON NHS TRUST"/>
    <n v="71030"/>
    <n v="45388"/>
    <n v="1058"/>
    <x v="0"/>
    <n v="0.63899760664507954"/>
  </r>
  <r>
    <s v="RTK"/>
    <s v="ASHFORD AND ST PETER'S HOSPITALS NHS FOUNDATION TRUST"/>
    <n v="54829"/>
    <n v="33562"/>
    <n v="1028"/>
    <x v="1"/>
    <n v="0.61212132265771768"/>
  </r>
  <r>
    <s v="R1H"/>
    <s v="BARTS HEALTH NHS TRUST"/>
    <n v="122447"/>
    <n v="78495"/>
    <n v="1012"/>
    <x v="0"/>
    <n v="0.64105286368796299"/>
  </r>
  <r>
    <s v="RN3"/>
    <s v="GREAT WESTERN HOSPITALS NHS FOUNDATION TRUST"/>
    <n v="42520"/>
    <n v="24519"/>
    <n v="969"/>
    <x v="2"/>
    <n v="0.57664628410159924"/>
  </r>
  <r>
    <s v="RJ1"/>
    <s v="GUY'S AND ST THOMAS' NHS FOUNDATION TRUST"/>
    <n v="109147"/>
    <n v="73906"/>
    <n v="911"/>
    <x v="1"/>
    <n v="0.67712351232741164"/>
  </r>
  <r>
    <s v="RD8"/>
    <s v="MILTON KEYNES UNIVERSITY HOSPITAL NHS FOUNDATION TRUST"/>
    <n v="38521"/>
    <n v="22839"/>
    <n v="882"/>
    <x v="2"/>
    <n v="0.5928973806495158"/>
  </r>
  <r>
    <s v="RN7"/>
    <s v="DARTFORD AND GRAVESHAM NHS TRUST"/>
    <n v="30105"/>
    <n v="18373"/>
    <n v="882"/>
    <x v="2"/>
    <n v="0.61029729280850353"/>
  </r>
  <r>
    <s v="RWH"/>
    <s v="EAST AND NORTH HERTFORDSHIRE TEACHING NHS TRUST"/>
    <n v="57593"/>
    <n v="37559"/>
    <n v="853"/>
    <x v="2"/>
    <n v="0.65214522598232427"/>
  </r>
  <r>
    <s v="RRV"/>
    <s v="UNIVERSITY COLLEGE LONDON HOSPITALS NHS FOUNDATION TRUST"/>
    <n v="79701"/>
    <n v="52211"/>
    <n v="845"/>
    <x v="2"/>
    <n v="0.65508588348954211"/>
  </r>
  <r>
    <s v="RQM"/>
    <s v="CHELSEA AND WESTMINSTER HOSPITAL NHS FOUNDATION TRUST"/>
    <n v="72057"/>
    <n v="49952"/>
    <n v="845"/>
    <x v="2"/>
    <n v="0.6932289715086668"/>
  </r>
  <r>
    <s v="REM"/>
    <s v="LIVERPOOL UNIVERSITY HOSPITALS NHS FOUNDATION TRUST"/>
    <n v="64802"/>
    <n v="40601"/>
    <n v="815"/>
    <x v="2"/>
    <n v="0.62653930434245853"/>
  </r>
  <r>
    <s v="RJ7"/>
    <s v="ST GEORGE'S UNIVERSITY HOSPITALS NHS FOUNDATION TRUST"/>
    <n v="70976"/>
    <n v="45327"/>
    <n v="805"/>
    <x v="2"/>
    <n v="0.63862432371505862"/>
  </r>
  <r>
    <s v="Q2Y5H"/>
    <s v="OVIVA UK LTD"/>
    <n v="11729"/>
    <n v="7822"/>
    <n v="803"/>
    <x v="2"/>
    <n v="0.66689402336090031"/>
  </r>
  <r>
    <s v="RGP"/>
    <s v="JAMES PAGET UNIVERSITY HOSPITALS NHS FOUNDATION TRUST"/>
    <n v="31209"/>
    <n v="19183"/>
    <n v="802"/>
    <x v="2"/>
    <n v="0.61466243711749813"/>
  </r>
  <r>
    <s v="RJ2"/>
    <s v="LEWISHAM AND GREENWICH NHS TRUST"/>
    <n v="55419"/>
    <n v="36511"/>
    <n v="772"/>
    <x v="2"/>
    <n v="0.65881737310308741"/>
  </r>
  <r>
    <s v="RTR"/>
    <s v="SOUTH TEES HOSPITALS NHS FOUNDATION TRUST"/>
    <n v="58402"/>
    <n v="38586"/>
    <n v="730"/>
    <x v="2"/>
    <n v="0.66069655148796269"/>
  </r>
  <r>
    <s v="RGT"/>
    <s v="CAMBRIDGE UNIVERSITY HOSPITALS NHS FOUNDATION TRUST"/>
    <n v="60401"/>
    <n v="39644"/>
    <n v="724"/>
    <x v="2"/>
    <n v="0.65634674922600622"/>
  </r>
  <r>
    <s v="RTD"/>
    <s v="THE NEWCASTLE UPON TYNE HOSPITALS NHS FOUNDATION TRUST"/>
    <n v="88001"/>
    <n v="63902"/>
    <n v="720"/>
    <x v="2"/>
    <n v="0.72615083919500911"/>
  </r>
  <r>
    <s v="RPA"/>
    <s v="MEDWAY NHS FOUNDATION TRUST"/>
    <n v="35800"/>
    <n v="20848"/>
    <n v="716"/>
    <x v="2"/>
    <n v="0.58234636871508383"/>
  </r>
  <r>
    <s v="R0D"/>
    <s v="UNIVERSITY HOSPITALS DORSET NHS FOUNDATION TRUST"/>
    <n v="67232"/>
    <n v="44352"/>
    <n v="657"/>
    <x v="2"/>
    <n v="0.65968586387434558"/>
  </r>
  <r>
    <s v="RJ6"/>
    <s v="CROYDON HEALTH SERVICES NHS TRUST"/>
    <n v="36343"/>
    <n v="26467"/>
    <n v="637"/>
    <x v="2"/>
    <n v="0.72825578515807721"/>
  </r>
  <r>
    <s v="RGR"/>
    <s v="WEST SUFFOLK NHS FOUNDATION TRUST"/>
    <n v="32863"/>
    <n v="21221"/>
    <n v="613"/>
    <x v="2"/>
    <n v="0.64574141131363538"/>
  </r>
  <r>
    <s v="RWP"/>
    <s v="WORCESTERSHIRE ACUTE HOSPITALS NHS TRUST"/>
    <n v="59549"/>
    <n v="36082"/>
    <n v="592"/>
    <x v="2"/>
    <n v="0.60592117415909585"/>
  </r>
  <r>
    <s v="RTX"/>
    <s v="UNIVERSITY HOSPITALS OF MORECAMBE BAY NHS FOUNDATION TRUST"/>
    <n v="36391"/>
    <n v="24933"/>
    <n v="584"/>
    <x v="1"/>
    <n v="0.68514193069715035"/>
  </r>
  <r>
    <s v="R1K"/>
    <s v="LONDON NORTH WEST UNIVERSITY HEALTHCARE NHS TRUST"/>
    <n v="81503"/>
    <n v="54741"/>
    <n v="581"/>
    <x v="2"/>
    <n v="0.67164398856483809"/>
  </r>
  <r>
    <s v="RA7"/>
    <s v="BRISTOL NHS FOUNDATION TRUST"/>
    <n v="95997"/>
    <n v="66347"/>
    <n v="521"/>
    <x v="2"/>
    <n v="0.69113618133900012"/>
  </r>
  <r>
    <s v="RMC"/>
    <s v="BOLTON NHS FOUNDATION TRUST"/>
    <n v="36998"/>
    <n v="22803"/>
    <n v="509"/>
    <x v="2"/>
    <n v="0.61633061246553866"/>
  </r>
  <r>
    <s v="RVR"/>
    <s v="EPSOM AND ST HELIER UNIVERSITY HOSPITALS NHS TRUST"/>
    <n v="56697"/>
    <n v="37908"/>
    <n v="499"/>
    <x v="2"/>
    <n v="0.66860680459283561"/>
  </r>
  <r>
    <s v="RFS"/>
    <s v="CHESTERFIELD ROYAL HOSPITAL NHS FOUNDATION TRUST"/>
    <n v="26724"/>
    <n v="16976"/>
    <n v="491"/>
    <x v="2"/>
    <n v="0.6352342463703039"/>
  </r>
  <r>
    <s v="RK5"/>
    <s v="SHERWOOD FOREST HOSPITALS NHS FOUNDATION TRUST"/>
    <n v="33431"/>
    <n v="21331"/>
    <n v="468"/>
    <x v="2"/>
    <n v="0.6380604827854387"/>
  </r>
  <r>
    <s v="RXK"/>
    <s v="SANDWELL AND WEST BIRMINGHAM HOSPITALS NHS TRUST"/>
    <n v="67228"/>
    <n v="40376"/>
    <n v="461"/>
    <x v="2"/>
    <n v="0.6005830903790087"/>
  </r>
  <r>
    <s v="DXV"/>
    <s v="OMNES HEALTHCARE LTD"/>
    <n v="14240"/>
    <n v="7573"/>
    <n v="460"/>
    <x v="2"/>
    <n v="0.53181179775280896"/>
  </r>
  <r>
    <s v="RGN"/>
    <s v="NORTH WEST ANGLIA NHS FOUNDATION TRUST"/>
    <n v="75552"/>
    <n v="45491"/>
    <n v="450"/>
    <x v="2"/>
    <n v="0.6021150995340957"/>
  </r>
  <r>
    <s v="REF"/>
    <s v="ROYAL CORNWALL HOSPITALS NHS TRUST"/>
    <n v="44996"/>
    <n v="32870"/>
    <n v="446"/>
    <x v="2"/>
    <n v="0.73050937861143217"/>
  </r>
  <r>
    <s v="RQW"/>
    <s v="THE PRINCESS ALEXANDRA HOSPITAL NHS TRUST"/>
    <n v="40233"/>
    <n v="27006"/>
    <n v="411"/>
    <x v="2"/>
    <n v="0.67124002684363582"/>
  </r>
  <r>
    <s v="RDE"/>
    <s v="EAST SUFFOLK AND NORTH ESSEX NHS FOUNDATION TRUST"/>
    <n v="95324"/>
    <n v="57687"/>
    <n v="410"/>
    <x v="2"/>
    <n v="0.60516763878981161"/>
  </r>
  <r>
    <s v="RJC"/>
    <s v="SOUTH WARWICKSHIRE UNIVERSITY NHS FOUNDATION TRUST"/>
    <n v="31997"/>
    <n v="21523"/>
    <n v="398"/>
    <x v="2"/>
    <n v="0.67265681157608526"/>
  </r>
  <r>
    <s v="RWG"/>
    <s v="WEST HERTFORDSHIRE TEACHING HOSPITALS NHS TRUST"/>
    <n v="44404"/>
    <n v="30682"/>
    <n v="393"/>
    <x v="2"/>
    <n v="0.69097378614539229"/>
  </r>
  <r>
    <s v="RA2"/>
    <s v="ROYAL SURREY NHS FOUNDATION TRUST"/>
    <n v="31638"/>
    <n v="20491"/>
    <n v="378"/>
    <x v="2"/>
    <n v="0.64767052278905113"/>
  </r>
  <r>
    <s v="RFR"/>
    <s v="THE ROTHERHAM NHS FOUNDATION TRUST"/>
    <n v="29809"/>
    <n v="20352"/>
    <n v="376"/>
    <x v="2"/>
    <n v="0.6827468214297695"/>
  </r>
  <r>
    <s v="RBD"/>
    <s v="DORSET COUNTY HOSPITAL NHS FOUNDATION TRUST"/>
    <n v="23094"/>
    <n v="13921"/>
    <n v="370"/>
    <x v="2"/>
    <n v="0.60279726335844808"/>
  </r>
  <r>
    <s v="RXN"/>
    <s v="LANCASHIRE TEACHING HOSPITALS NHS FOUNDATION TRUST"/>
    <n v="62308"/>
    <n v="37377"/>
    <n v="364"/>
    <x v="2"/>
    <n v="0.59987481543301024"/>
  </r>
  <r>
    <s v="RNN"/>
    <s v="NORTH CUMBRIA INTEGRATED CARE NHS FOUNDATION TRUST"/>
    <n v="35113"/>
    <n v="22963"/>
    <n v="356"/>
    <x v="2"/>
    <n v="0.65397431150855811"/>
  </r>
  <r>
    <s v="RXC"/>
    <s v="EAST SUSSEX HEALTHCARE NHS TRUST"/>
    <n v="55366"/>
    <n v="38230"/>
    <n v="338"/>
    <x v="2"/>
    <n v="0.69049597225734205"/>
  </r>
  <r>
    <s v="RXF"/>
    <s v="MID YORKSHIRE TEACHING NHS TRUST"/>
    <n v="57955"/>
    <n v="38104"/>
    <n v="337"/>
    <x v="2"/>
    <n v="0.65747562764213618"/>
  </r>
  <r>
    <s v="RDR"/>
    <s v="SUSSEX COMMUNITY NHS FOUNDATION TRUST"/>
    <n v="14239"/>
    <n v="8667"/>
    <n v="335"/>
    <x v="2"/>
    <n v="0.6086803848584873"/>
  </r>
  <r>
    <s v="RWW"/>
    <s v="NORTH CHESHIRE AND MERSEY NHS FOUNDATION TRUST"/>
    <n v="35442"/>
    <n v="23145"/>
    <n v="321"/>
    <x v="2"/>
    <n v="0.65303876756390722"/>
  </r>
  <r>
    <s v="RJN"/>
    <s v="EAST CHESHIRE NHS TRUST"/>
    <n v="15694"/>
    <n v="9689"/>
    <n v="284"/>
    <x v="2"/>
    <n v="0.6173696954250032"/>
  </r>
  <r>
    <s v="RBL"/>
    <s v="WIRRAL UNIVERSITY TEACHING HOSPITAL NHS FOUNDATION TRUST"/>
    <n v="43231"/>
    <n v="28261"/>
    <n v="274"/>
    <x v="2"/>
    <n v="0.65372070967592699"/>
  </r>
  <r>
    <s v="RCX"/>
    <s v="THE QUEEN ELIZABETH HOSPITAL, KING'S LYNN, NHS FOUNDATION TRUST"/>
    <n v="23666"/>
    <n v="15321"/>
    <n v="259"/>
    <x v="2"/>
    <n v="0.64738443336432017"/>
  </r>
  <r>
    <s v="RBT"/>
    <s v="MID CHESHIRE HOSPITALS NHS FOUNDATION TRUST"/>
    <n v="30253"/>
    <n v="21350"/>
    <n v="247"/>
    <x v="2"/>
    <n v="0.70571513568902255"/>
  </r>
  <r>
    <s v="RLQ"/>
    <s v="WYE VALLEY NHS TRUST"/>
    <n v="23032"/>
    <n v="15159"/>
    <n v="229"/>
    <x v="2"/>
    <n v="0.65817124001389371"/>
  </r>
  <r>
    <s v="RPC"/>
    <s v="QUEEN VICTORIA HOSPITAL NHS FOUNDATION TRUST"/>
    <n v="22246"/>
    <n v="13539"/>
    <n v="228"/>
    <x v="2"/>
    <n v="0.60860379394048369"/>
  </r>
  <r>
    <s v="RL1"/>
    <s v="THE ROBERT JONES AND AGNES HUNT ORTHOPAEDIC HOSPITAL NHS FOUNDATION TRUST"/>
    <n v="13180"/>
    <n v="8428"/>
    <n v="227"/>
    <x v="2"/>
    <n v="0.63945371775417303"/>
  </r>
  <r>
    <s v="RP4"/>
    <s v="GREAT ORMOND STREET HOSPITAL FOR CHILDREN NHS FOUNDATION TRUST"/>
    <n v="8184"/>
    <n v="5900"/>
    <n v="226"/>
    <x v="2"/>
    <n v="0.72091886608015643"/>
  </r>
  <r>
    <s v="RVW"/>
    <s v="NORTH TEES AND HARTLEPOOL NHS FOUNDATION TRUST"/>
    <n v="24063"/>
    <n v="16749"/>
    <n v="225"/>
    <x v="1"/>
    <n v="0.69604787432988402"/>
  </r>
  <r>
    <s v="NVC16"/>
    <s v="RENACRES HOSPITAL"/>
    <n v="4491"/>
    <n v="2021"/>
    <n v="184"/>
    <x v="2"/>
    <n v="0.45001113337786686"/>
  </r>
  <r>
    <s v="RJR"/>
    <s v="COUNTESS OF CHESTER HOSPITAL NHS FOUNDATION TRUST"/>
    <n v="29011"/>
    <n v="19835"/>
    <n v="184"/>
    <x v="2"/>
    <n v="0.68370618041432563"/>
  </r>
  <r>
    <s v="NT204"/>
    <s v="NUFFIELD HEALTH, BRENTWOOD HOSPITAL"/>
    <n v="2843"/>
    <n v="1315"/>
    <n v="178"/>
    <x v="1"/>
    <n v="0.46253957087583536"/>
  </r>
  <r>
    <s v="RRK"/>
    <s v="UNIVERSITY HOSPITALS BIRMINGHAM NHS FOUNDATION TRUST"/>
    <n v="96056"/>
    <n v="63940"/>
    <n v="174"/>
    <x v="2"/>
    <n v="0.66565336886816029"/>
  </r>
  <r>
    <s v="RXR"/>
    <s v="EAST LANCASHIRE HOSPITALS NHS TRUST"/>
    <n v="46339"/>
    <n v="33412"/>
    <n v="171"/>
    <x v="2"/>
    <n v="0.72103411812943741"/>
  </r>
  <r>
    <s v="NVC06"/>
    <s v="FITZWILLIAM HOSPITAL"/>
    <n v="6459"/>
    <n v="3470"/>
    <n v="169"/>
    <x v="2"/>
    <n v="0.53723486607834026"/>
  </r>
  <r>
    <s v="RBS"/>
    <s v="ALDER HEY CHILDREN'S NHS FOUNDATION TRUST"/>
    <n v="16735"/>
    <n v="11077"/>
    <n v="161"/>
    <x v="1"/>
    <n v="0.6619061846429638"/>
  </r>
  <r>
    <s v="RWJ"/>
    <s v="STOCKPORT NHS FOUNDATION TRUST"/>
    <n v="34931"/>
    <n v="21757"/>
    <n v="155"/>
    <x v="2"/>
    <n v="0.62285648850591169"/>
  </r>
  <r>
    <s v="RD1"/>
    <s v="ROYAL UNITED HOSPITALS BATH NHS FOUNDATION TRUST"/>
    <n v="43127"/>
    <n v="30231"/>
    <n v="154"/>
    <x v="2"/>
    <n v="0.70097618661163541"/>
  </r>
  <r>
    <s v="RFF"/>
    <s v="BARNSLEY HOSPITAL NHS FOUNDATION TRUST"/>
    <n v="21616"/>
    <n v="15014"/>
    <n v="148"/>
    <x v="1"/>
    <n v="0.69457809030347895"/>
  </r>
  <r>
    <s v="RQ3"/>
    <s v="BIRMINGHAM WOMEN'S AND CHILDREN'S NHS FOUNDATION TRUST"/>
    <n v="23169"/>
    <n v="15190"/>
    <n v="141"/>
    <x v="2"/>
    <n v="0.65561741982821875"/>
  </r>
  <r>
    <s v="REP"/>
    <s v="LIVERPOOL WOMEN'S NHS FOUNDATION TRUST"/>
    <n v="10814"/>
    <n v="6629"/>
    <n v="127"/>
    <x v="2"/>
    <n v="0.61300166450896987"/>
  </r>
  <r>
    <s v="RNZ"/>
    <s v="SALISBURY NHS FOUNDATION TRUST"/>
    <n v="31012"/>
    <n v="21570"/>
    <n v="126"/>
    <x v="2"/>
    <n v="0.69553721140203795"/>
  </r>
  <r>
    <s v="RCU"/>
    <s v="SHEFFIELD CHILDREN'S NHS FOUNDATION TRUST"/>
    <n v="11708"/>
    <n v="8349"/>
    <n v="122"/>
    <x v="2"/>
    <n v="0.71310215237444485"/>
  </r>
  <r>
    <s v="RQX"/>
    <s v="HOMERTON HEALTHCARE NHS FOUNDATION TRUST"/>
    <n v="25725"/>
    <n v="18830"/>
    <n v="116"/>
    <x v="1"/>
    <n v="0.73197278911564623"/>
  </r>
  <r>
    <s v="NYG"/>
    <s v="SUSSEX COMMUNITY DERMATOLOGY SERVICE"/>
    <n v="20045"/>
    <n v="17237"/>
    <n v="114"/>
    <x v="2"/>
    <n v="0.85991519082065349"/>
  </r>
  <r>
    <s v="NVC15"/>
    <s v="PINEHILL HOSPITAL"/>
    <n v="2079"/>
    <n v="1276"/>
    <n v="111"/>
    <x v="2"/>
    <n v="0.61375661375661372"/>
  </r>
  <r>
    <s v="RKE"/>
    <s v="WHITTINGTON HEALTH NHS TRUST"/>
    <n v="22757"/>
    <n v="15359"/>
    <n v="101"/>
    <x v="1"/>
    <n v="0.67491321351672018"/>
  </r>
  <r>
    <s v="RAS"/>
    <s v="THE HILLINGDON HOSPITALS NHS FOUNDATION TRUST"/>
    <n v="32553"/>
    <n v="20811"/>
    <n v="96"/>
    <x v="2"/>
    <n v="0.63929591742696523"/>
  </r>
  <r>
    <s v="RNQ"/>
    <s v="KETTERING GENERAL HOSPITAL NHS FOUNDATION TRUST"/>
    <n v="32044"/>
    <n v="21846"/>
    <n v="89"/>
    <x v="2"/>
    <n v="0.6817500936212707"/>
  </r>
  <r>
    <s v="RLT"/>
    <s v="GEORGE ELIOT HOSPITAL NHS TRUST"/>
    <n v="19075"/>
    <n v="12272"/>
    <n v="87"/>
    <x v="2"/>
    <n v="0.64335517693315858"/>
  </r>
  <r>
    <s v="H4I8B"/>
    <s v="NUFFIELD HEALTH THE HOLLY HOSPITAL"/>
    <n v="4499"/>
    <n v="2943"/>
    <n v="85"/>
    <x v="1"/>
    <n v="0.65414536563680814"/>
  </r>
  <r>
    <s v="RET"/>
    <s v="THE WALTON CENTRE NHS FOUNDATION TRUST"/>
    <n v="11646"/>
    <n v="7967"/>
    <n v="81"/>
    <x v="2"/>
    <n v="0.68409754422119184"/>
  </r>
  <r>
    <s v="R1F"/>
    <s v="ISLE OF WIGHT NHS TRUST"/>
    <n v="12463"/>
    <n v="8201"/>
    <n v="80"/>
    <x v="2"/>
    <n v="0.65802776217604109"/>
  </r>
  <r>
    <s v="NMG"/>
    <s v="CORA HEALTH MSK (FORMERLY CONNECT HEALTH LTD)"/>
    <n v="24720"/>
    <n v="21132"/>
    <n v="74"/>
    <x v="2"/>
    <n v="0.85485436893203881"/>
  </r>
  <r>
    <s v="NT314"/>
    <s v="SPIRE LONDON EAST"/>
    <n v="3517"/>
    <n v="2098"/>
    <n v="72"/>
    <x v="2"/>
    <n v="0.59653113448962181"/>
  </r>
  <r>
    <s v="RRJ"/>
    <s v="THE ROYAL ORTHOPAEDIC HOSPITAL NHS FOUNDATION TRUST"/>
    <n v="13403"/>
    <n v="8897"/>
    <n v="69"/>
    <x v="2"/>
    <n v="0.66380661046034473"/>
  </r>
  <r>
    <s v="RAX"/>
    <s v="KINGSTON AND RICHMOND NHS FOUNDATION TRUST"/>
    <n v="38295"/>
    <n v="26092"/>
    <n v="58"/>
    <x v="2"/>
    <n v="0.68134221177699439"/>
  </r>
  <r>
    <s v="NVC18"/>
    <s v="SPRINGFIELD HOSPITAL"/>
    <n v="3891"/>
    <n v="2387"/>
    <n v="57"/>
    <x v="1"/>
    <n v="0.61346697507067594"/>
  </r>
  <r>
    <s v="RXQ"/>
    <s v="BUCKINGHAMSHIRE HEALTHCARE NHS TRUST"/>
    <n v="47942"/>
    <n v="30431"/>
    <n v="55"/>
    <x v="2"/>
    <n v="0.63474615159984982"/>
  </r>
  <r>
    <s v="NVC08"/>
    <s v="MOUNT STUART HOSPITAL"/>
    <n v="2205"/>
    <n v="1217"/>
    <n v="52"/>
    <x v="2"/>
    <n v="0.55192743764172336"/>
  </r>
  <r>
    <s v="NN8"/>
    <s v="SPENCER PRIVATE HOSPITALS LTD"/>
    <n v="4101"/>
    <n v="2517"/>
    <n v="51"/>
    <x v="2"/>
    <n v="0.61375274323335771"/>
  </r>
  <r>
    <s v="NT427"/>
    <s v="PARK HOSPITAL"/>
    <n v="2542"/>
    <n v="1658"/>
    <n v="49"/>
    <x v="2"/>
    <n v="0.65224232887490163"/>
  </r>
  <r>
    <s v="NVM"/>
    <s v="EPSOMEDICAL GROUP"/>
    <n v="2853"/>
    <n v="2446"/>
    <n v="47"/>
    <x v="2"/>
    <n v="0.85734314756396779"/>
  </r>
  <r>
    <s v="NTP15"/>
    <s v="PRACTICE PLUS GROUP HOSPITAL - ILFORD"/>
    <n v="4951"/>
    <n v="3742"/>
    <n v="44"/>
    <x v="2"/>
    <n v="0.75580690769541503"/>
  </r>
  <r>
    <s v="RCF"/>
    <s v="AIREDALE NHS FOUNDATION TRUST"/>
    <n v="14971"/>
    <n v="10634"/>
    <n v="40"/>
    <x v="2"/>
    <n v="0.71030659274597552"/>
  </r>
  <r>
    <s v="NLX"/>
    <s v="SIRONA CARE &amp; HEALTH"/>
    <n v="6879"/>
    <n v="4996"/>
    <n v="40"/>
    <x v="2"/>
    <n v="0.72626835295827885"/>
  </r>
  <r>
    <s v="RAE"/>
    <s v="BRADFORD TEACHING HOSPITALS NHS FOUNDATION TRUST"/>
    <n v="31752"/>
    <n v="21872"/>
    <n v="40"/>
    <x v="2"/>
    <n v="0.68883849836230793"/>
  </r>
  <r>
    <s v="NT441"/>
    <s v="THREE SHIRES HOSPITAL"/>
    <n v="3616"/>
    <n v="2331"/>
    <n v="36"/>
    <x v="2"/>
    <n v="0.64463495575221241"/>
  </r>
  <r>
    <s v="RHW"/>
    <s v="ROYAL BERKSHIRE NHS FOUNDATION TRUST"/>
    <n v="34597"/>
    <n v="27904"/>
    <n v="35"/>
    <x v="2"/>
    <n v="0.80654391999306296"/>
  </r>
  <r>
    <s v="RTE"/>
    <s v="GLOUCESTERSHIRE HOSPITALS NHS FOUNDATION TRUST"/>
    <n v="65922"/>
    <n v="46192"/>
    <n v="34"/>
    <x v="1"/>
    <n v="0.70070689602863989"/>
  </r>
  <r>
    <s v="NYR"/>
    <s v="CORA HEALTH DIAGNOSTICS (FORMERLY HEALTHSHARE DIAGNOSTICS)"/>
    <n v="1379"/>
    <n v="851"/>
    <n v="30"/>
    <x v="2"/>
    <n v="0.61711385061638868"/>
  </r>
  <r>
    <s v="M2Y6D"/>
    <s v="PRACTICE PLUS GROUP HOSPITAL BIRMINGHAM"/>
    <n v="1866"/>
    <n v="1293"/>
    <n v="30"/>
    <x v="2"/>
    <n v="0.69292604501607713"/>
  </r>
  <r>
    <s v="NT308"/>
    <s v="SPIRE GATWICK PARK HOSPITAL"/>
    <n v="1712"/>
    <n v="1389"/>
    <n v="29"/>
    <x v="2"/>
    <n v="0.81133177570093462"/>
  </r>
  <r>
    <s v="NCN"/>
    <s v="DMC HEALTHCARE"/>
    <n v="2656"/>
    <n v="2286"/>
    <n v="28"/>
    <x v="2"/>
    <n v="0.86069277108433739"/>
  </r>
  <r>
    <s v="A4M8P"/>
    <s v="BUCKSHAW HOSPITAL"/>
    <n v="3211"/>
    <n v="2423"/>
    <n v="27"/>
    <x v="2"/>
    <n v="0.75459358455309877"/>
  </r>
  <r>
    <s v="B3M1X"/>
    <s v="CLAREMONT PRIVATE HOSPITAL"/>
    <n v="2853"/>
    <n v="1541"/>
    <n v="27"/>
    <x v="2"/>
    <n v="0.5401331931300386"/>
  </r>
  <r>
    <s v="NVC27"/>
    <s v="BOSTON WEST HOSPITAL"/>
    <n v="2340"/>
    <n v="1532"/>
    <n v="26"/>
    <x v="2"/>
    <n v="0.65470085470085471"/>
  </r>
  <r>
    <s v="NT320"/>
    <s v="SPIRE PARKWAY HOSPITAL"/>
    <n v="1414"/>
    <n v="1025"/>
    <n v="26"/>
    <x v="2"/>
    <n v="0.72489391796322489"/>
  </r>
  <r>
    <s v="NVC20"/>
    <s v="THE YORKSHIRE CLINIC"/>
    <n v="7440"/>
    <n v="5586"/>
    <n v="25"/>
    <x v="2"/>
    <n v="0.75080645161290327"/>
  </r>
  <r>
    <s v="NTX"/>
    <s v="THE ONE HEALTH GROUP PLC"/>
    <n v="5433"/>
    <n v="4376"/>
    <n v="25"/>
    <x v="2"/>
    <n v="0.80544818700533771"/>
  </r>
  <r>
    <s v="NTPH1"/>
    <s v="PRACTICE PLUS GROUP HOSPITAL - SHEPTON MALLET"/>
    <n v="3051"/>
    <n v="2218"/>
    <n v="25"/>
    <x v="2"/>
    <n v="0.72697476237299241"/>
  </r>
  <r>
    <s v="RGM"/>
    <s v="ROYAL PAPWORTH HOSPITAL NHS FOUNDATION TRUST"/>
    <n v="5955"/>
    <n v="4797"/>
    <n v="22"/>
    <x v="2"/>
    <n v="0.8055415617128463"/>
  </r>
  <r>
    <s v="RYJ"/>
    <s v="IMPERIAL COLLEGE HEALTHCARE NHS TRUST"/>
    <n v="84317"/>
    <n v="59373"/>
    <n v="22"/>
    <x v="2"/>
    <n v="0.70416404758233808"/>
  </r>
  <r>
    <s v="NVC29"/>
    <s v="COBALT HOSPITAL"/>
    <n v="2209"/>
    <n v="1495"/>
    <n v="22"/>
    <x v="2"/>
    <n v="0.67677682209144407"/>
  </r>
  <r>
    <s v="RNA"/>
    <s v="THE DUDLEY GROUP NHS FOUNDATION TRUST"/>
    <n v="48882"/>
    <n v="30805"/>
    <n v="21"/>
    <x v="1"/>
    <n v="0.63019107237838057"/>
  </r>
  <r>
    <s v="NVC09"/>
    <s v="NEW HALL HOSPITAL"/>
    <n v="3507"/>
    <n v="2374"/>
    <n v="21"/>
    <x v="1"/>
    <n v="0.67693185058454519"/>
  </r>
  <r>
    <s v="NVC05"/>
    <s v="EUXTON HALL HOSPITAL"/>
    <n v="2920"/>
    <n v="1959"/>
    <n v="20"/>
    <x v="2"/>
    <n v="0.67089041095890412"/>
  </r>
  <r>
    <s v="NVC1H"/>
    <s v="STOURSIDE HOSPITAL"/>
    <n v="2809"/>
    <n v="1950"/>
    <n v="19"/>
    <x v="1"/>
    <n v="0.69419722321110711"/>
  </r>
  <r>
    <s v="RP6"/>
    <s v="MOORFIELDS EYE HOSPITAL NHS FOUNDATION TRUST"/>
    <n v="42010"/>
    <n v="35539"/>
    <n v="19"/>
    <x v="2"/>
    <n v="0.84596524636991188"/>
  </r>
  <r>
    <s v="NVC11"/>
    <s v="NORTH DOWNS HOSPITAL"/>
    <n v="1423"/>
    <n v="996"/>
    <n v="19"/>
    <x v="2"/>
    <n v="0.69992972593113145"/>
  </r>
  <r>
    <s v="NT312"/>
    <s v="SPIRE ALEXANDRA HOSPITAL"/>
    <n v="1583"/>
    <n v="1170"/>
    <n v="18"/>
    <x v="2"/>
    <n v="0.73910296904611494"/>
  </r>
  <r>
    <s v="NVC19"/>
    <s v="RIVERS HOSPITAL"/>
    <n v="4139"/>
    <n v="2738"/>
    <n v="18"/>
    <x v="2"/>
    <n v="0.66151244261899012"/>
  </r>
  <r>
    <s v="NLG"/>
    <s v="COMMUNITAS CLINICS"/>
    <n v="5069"/>
    <n v="3427"/>
    <n v="16"/>
    <x v="2"/>
    <n v="0.67607023081475637"/>
  </r>
  <r>
    <s v="RBQ"/>
    <s v="LIVERPOOL HEART AND CHEST HOSPITAL NHS FOUNDATION TRUST"/>
    <n v="4734"/>
    <n v="3848"/>
    <n v="15"/>
    <x v="2"/>
    <n v="0.812843261512463"/>
  </r>
  <r>
    <s v="L4R3R"/>
    <s v="NEWMEDICA - HAMPSHIRE"/>
    <n v="1827"/>
    <n v="1018"/>
    <n v="15"/>
    <x v="2"/>
    <n v="0.55719759168035032"/>
  </r>
  <r>
    <s v="NT233"/>
    <s v="NUFFIELD HEALTH, PLYMOUTH HOSPITAL"/>
    <n v="1095"/>
    <n v="681"/>
    <n v="14"/>
    <x v="2"/>
    <n v="0.62191780821917808"/>
  </r>
  <r>
    <s v="NVC44"/>
    <s v="THE WESTBOURNE CENTRE"/>
    <n v="3019"/>
    <n v="1916"/>
    <n v="13"/>
    <x v="2"/>
    <n v="0.63464723418350444"/>
  </r>
  <r>
    <s v="NTP11"/>
    <s v="PRACTICE PLUS GROUP HOSPITAL - SOUTHAMPTON"/>
    <n v="10376"/>
    <n v="5912"/>
    <n v="12"/>
    <x v="1"/>
    <n v="0.56977640709329225"/>
  </r>
  <r>
    <s v="G3Q3Z"/>
    <s v="NUFFIELD HEALTH HIGHGATE HOSPITAL"/>
    <n v="1407"/>
    <n v="1191"/>
    <n v="12"/>
    <x v="1"/>
    <n v="0.84648187633262262"/>
  </r>
  <r>
    <s v="NT333"/>
    <s v="SPIRE WASHINGTON HOSPITAL"/>
    <n v="2456"/>
    <n v="1770"/>
    <n v="12"/>
    <x v="2"/>
    <n v="0.72068403908794787"/>
  </r>
  <r>
    <s v="NT313"/>
    <s v="SPIRE WELLESLEY HOSPITAL"/>
    <n v="1176"/>
    <n v="675"/>
    <n v="12"/>
    <x v="2"/>
    <n v="0.57397959183673475"/>
  </r>
  <r>
    <s v="RCD"/>
    <s v="HARROGATE AND DISTRICT NHS FOUNDATION TRUST"/>
    <n v="21665"/>
    <n v="15333"/>
    <n v="12"/>
    <x v="1"/>
    <n v="0.70773136395107317"/>
  </r>
  <r>
    <s v="NTPH5"/>
    <s v="PRACTICE PLUS GROUP HOSPITAL - PLYMOUTH"/>
    <n v="1835"/>
    <n v="1615"/>
    <n v="11"/>
    <x v="2"/>
    <n v="0.88010899182561309"/>
  </r>
  <r>
    <s v="RBK"/>
    <s v="WALSALL HEALTHCARE NHS TRUST"/>
    <n v="28489"/>
    <n v="20749"/>
    <n v="11"/>
    <x v="2"/>
    <n v="0.72831619221453892"/>
  </r>
  <r>
    <s v="RAN"/>
    <s v="ROYAL NATIONAL ORTHOPAEDIC HOSPITAL NHS TRUST"/>
    <n v="9710"/>
    <n v="7548"/>
    <n v="11"/>
    <x v="2"/>
    <n v="0.77734294541709581"/>
  </r>
  <r>
    <s v="NVC31"/>
    <s v="BLAKELANDS HOSPITAL"/>
    <n v="2221"/>
    <n v="1533"/>
    <n v="11"/>
    <x v="2"/>
    <n v="0.69022962629446194"/>
  </r>
  <r>
    <s v="NT321"/>
    <s v="SPIRE LITTLE ASTON HOSPITAL"/>
    <n v="1626"/>
    <n v="1299"/>
    <n v="11"/>
    <x v="2"/>
    <n v="0.79889298892988925"/>
  </r>
  <r>
    <s v="AHP"/>
    <s v="ST MICHAEL'S CLINIC LIMITED"/>
    <n v="1958"/>
    <n v="1166"/>
    <n v="11"/>
    <x v="1"/>
    <n v="0.5955056179775281"/>
  </r>
  <r>
    <s v="NVC25"/>
    <s v="THE CHERWELL HOSPITAL"/>
    <n v="2362"/>
    <n v="1548"/>
    <n v="10"/>
    <x v="2"/>
    <n v="0.65537679932260795"/>
  </r>
  <r>
    <s v="NT230"/>
    <s v="NUFFIELD HEALTH, NORTH STAFFORDSHIRE HOSPITAL"/>
    <n v="1301"/>
    <n v="927"/>
    <n v="9"/>
    <x v="2"/>
    <n v="0.71252882398155271"/>
  </r>
  <r>
    <s v="RWY"/>
    <s v="CALDERDALE AND HUDDERSFIELD NHS FOUNDATION TRUST"/>
    <n v="35185"/>
    <n v="26757"/>
    <n v="9"/>
    <x v="2"/>
    <n v="0.76046610771635637"/>
  </r>
  <r>
    <s v="NT337"/>
    <s v="SPIRE LIVERPOOL HOSPITAL"/>
    <n v="2399"/>
    <n v="2082"/>
    <n v="9"/>
    <x v="2"/>
    <n v="0.86786160900375153"/>
  </r>
  <r>
    <s v="NTP16"/>
    <s v="PRACTICE PLUS GROUP SURGICAL CENTRE - GILLINGHAM"/>
    <n v="1225"/>
    <n v="1014"/>
    <n v="8"/>
    <x v="2"/>
    <n v="0.82775510204081637"/>
  </r>
  <r>
    <s v="NXM01"/>
    <s v="THE HORDER CENTRE - ST JOHNS ROAD"/>
    <n v="1313"/>
    <n v="783"/>
    <n v="8"/>
    <x v="2"/>
    <n v="0.59634424980959633"/>
  </r>
  <r>
    <s v="NWF01"/>
    <s v="BENENDEN HOSPITAL"/>
    <n v="1660"/>
    <n v="1301"/>
    <n v="8"/>
    <x v="2"/>
    <n v="0.78373493975903619"/>
  </r>
  <r>
    <s v="RR7"/>
    <s v="GATESHEAD HEALTH NHS FOUNDATION TRUST"/>
    <n v="11753"/>
    <n v="8871"/>
    <n v="8"/>
    <x v="1"/>
    <n v="0.75478601208202156"/>
  </r>
  <r>
    <s v="NT406"/>
    <s v="BLACKHEATH HOSPITAL"/>
    <n v="1201"/>
    <n v="932"/>
    <n v="8"/>
    <x v="2"/>
    <n v="0.77601998334721067"/>
  </r>
  <r>
    <s v="NT245"/>
    <s v="NUFFIELD HEALTH, YORK HOSPITAL"/>
    <n v="1404"/>
    <n v="974"/>
    <n v="7"/>
    <x v="2"/>
    <n v="0.69373219373219375"/>
  </r>
  <r>
    <s v="NVC07"/>
    <s v="FULWOOD HALL HOSPITAL"/>
    <n v="4205"/>
    <n v="3161"/>
    <n v="7"/>
    <x v="2"/>
    <n v="0.75172413793103443"/>
  </r>
  <r>
    <s v="L0D9W"/>
    <s v="NEWMEDICA - GLOUCESTER (BRIGHOUSE COURT)"/>
    <n v="1021"/>
    <n v="834"/>
    <n v="7"/>
    <x v="2"/>
    <n v="0.8168462291870715"/>
  </r>
  <r>
    <s v="NVC28"/>
    <s v="CLIFTON PARK HOSPITAL"/>
    <n v="1635"/>
    <n v="1242"/>
    <n v="6"/>
    <x v="2"/>
    <n v="0.75963302752293582"/>
  </r>
  <r>
    <s v="N8R1N"/>
    <s v="NEWMEDICA - BERKSHIRE"/>
    <n v="1267"/>
    <n v="866"/>
    <n v="6"/>
    <x v="2"/>
    <n v="0.68350434096290447"/>
  </r>
  <r>
    <s v="NT322"/>
    <s v="SPIRE LEICESTER HOSPITAL"/>
    <n v="1091"/>
    <n v="772"/>
    <n v="6"/>
    <x v="2"/>
    <n v="0.70760769935838685"/>
  </r>
  <r>
    <s v="NT347"/>
    <s v="SPIRE FYLDE COAST HOSPITAL"/>
    <n v="3114"/>
    <n v="2288"/>
    <n v="5"/>
    <x v="2"/>
    <n v="0.73474630700064225"/>
  </r>
  <r>
    <s v="NTE02"/>
    <s v="ST HUGH'S HOSPITAL"/>
    <n v="2446"/>
    <n v="1876"/>
    <n v="5"/>
    <x v="1"/>
    <n v="0.76696647587898614"/>
  </r>
  <r>
    <s v="NVC04"/>
    <s v="DUCHY HOSPITAL"/>
    <n v="1755"/>
    <n v="1176"/>
    <n v="5"/>
    <x v="2"/>
    <n v="0.67008547008547004"/>
  </r>
  <r>
    <s v="NVC22"/>
    <s v="WINFIELD HOSPITAL"/>
    <n v="1401"/>
    <n v="979"/>
    <n v="5"/>
    <x v="1"/>
    <n v="0.69878658101356173"/>
  </r>
  <r>
    <s v="NT348"/>
    <s v="SPIRE ELLAND HOSPITAL"/>
    <n v="1651"/>
    <n v="1284"/>
    <n v="5"/>
    <x v="2"/>
    <n v="0.77771047849788011"/>
  </r>
  <r>
    <s v="NVC01"/>
    <s v="ASHTEAD HOSPITAL"/>
    <n v="1020"/>
    <n v="809"/>
    <n v="4"/>
    <x v="2"/>
    <n v="0.79313725490196074"/>
  </r>
  <r>
    <s v="NVC02"/>
    <s v="THE BERKSHIRE INDEPENDENT HOSPITAL"/>
    <n v="1265"/>
    <n v="994"/>
    <n v="4"/>
    <x v="2"/>
    <n v="0.78577075098814231"/>
  </r>
  <r>
    <s v="NT422"/>
    <s v="LONDON INDEPENDENT HOSPITAL"/>
    <n v="3761"/>
    <n v="3099"/>
    <n v="4"/>
    <x v="2"/>
    <n v="0.82398298324913588"/>
  </r>
  <r>
    <s v="NT404"/>
    <s v="BEAUMONT HOSPITAL"/>
    <n v="3369"/>
    <n v="2301"/>
    <n v="4"/>
    <x v="2"/>
    <n v="0.68299198575244879"/>
  </r>
  <r>
    <s v="NNE"/>
    <s v="DORKING HEALTHCARE LIMITED (DHC)"/>
    <n v="5638"/>
    <n v="4574"/>
    <n v="4"/>
    <x v="2"/>
    <n v="0.81128059595601276"/>
  </r>
  <r>
    <s v="RWF"/>
    <s v="MAIDSTONE AND TUNBRIDGE WELLS NHS TRUST"/>
    <n v="50979"/>
    <n v="35688"/>
    <n v="4"/>
    <x v="1"/>
    <n v="0.70005296298475839"/>
  </r>
  <r>
    <s v="B5M7B"/>
    <s v="NEWMEDICA - NORWICH"/>
    <n v="1741"/>
    <n v="1509"/>
    <n v="3"/>
    <x v="1"/>
    <n v="0.86674325100516947"/>
  </r>
  <r>
    <s v="NFH"/>
    <s v="SOMERSET SURGICAL SERVICES HQ"/>
    <n v="1603"/>
    <n v="1269"/>
    <n v="3"/>
    <x v="2"/>
    <n v="0.79164067373674363"/>
  </r>
  <r>
    <s v="G3Z1Q"/>
    <s v="SULIS HOSPITAL BATH (FOXCOTE AVENUE)"/>
    <n v="4065"/>
    <n v="2826"/>
    <n v="3"/>
    <x v="2"/>
    <n v="0.69520295202952032"/>
  </r>
  <r>
    <s v="NT3X3"/>
    <s v="SPIRE ST ANTHONY'S HOSPITAL"/>
    <n v="1084"/>
    <n v="1014"/>
    <n v="3"/>
    <x v="2"/>
    <n v="0.93542435424354242"/>
  </r>
  <r>
    <s v="NT213"/>
    <s v="NUFFIELD HEALTH, DERBY HOSPITAL"/>
    <n v="1210"/>
    <n v="710"/>
    <n v="3"/>
    <x v="2"/>
    <n v="0.58677685950413228"/>
  </r>
  <r>
    <s v="F9Z4V"/>
    <s v="CIRCLE READING HOSPITAL"/>
    <n v="1875"/>
    <n v="1363"/>
    <n v="2"/>
    <x v="1"/>
    <n v="0.72693333333333332"/>
  </r>
  <r>
    <s v="NT457"/>
    <s v="WOODLANDS HOSPITAL"/>
    <n v="3112"/>
    <n v="2487"/>
    <n v="2"/>
    <x v="2"/>
    <n v="0.7991645244215938"/>
  </r>
  <r>
    <s v="NT421"/>
    <s v="KINGS OAK HOSPITAL"/>
    <n v="1536"/>
    <n v="1094"/>
    <n v="2"/>
    <x v="1"/>
    <n v="0.71223958333333337"/>
  </r>
  <r>
    <s v="NN4"/>
    <s v="TYNESIDE SURGICAL SERVICES LTD"/>
    <n v="1588"/>
    <n v="1348"/>
    <n v="2"/>
    <x v="2"/>
    <n v="0.8488664987405542"/>
  </r>
  <r>
    <s v="NT436"/>
    <s v="SHIRLEY OAKS HOSPITAL"/>
    <n v="1096"/>
    <n v="785"/>
    <n v="2"/>
    <x v="2"/>
    <n v="0.71624087591240881"/>
  </r>
  <r>
    <s v="NDJ"/>
    <s v="FIRST COMMUNITY HEALTH AND CARE CIC"/>
    <n v="1111"/>
    <n v="975"/>
    <n v="2"/>
    <x v="2"/>
    <n v="0.87758775877587758"/>
  </r>
  <r>
    <s v="RYW"/>
    <s v="BIRMINGHAM COMMUNITY HEALTHCARE NHS FOUNDATION TRUST"/>
    <n v="15544"/>
    <n v="12715"/>
    <n v="2"/>
    <x v="2"/>
    <n v="0.81800051466803914"/>
  </r>
  <r>
    <s v="R1D"/>
    <s v="SHROPSHIRE COMMUNITY HEALTH NHS TRUST"/>
    <n v="8162"/>
    <n v="6599"/>
    <n v="1"/>
    <x v="2"/>
    <n v="0.80850281793678025"/>
  </r>
  <r>
    <s v="ACG31"/>
    <s v="NEWMEDICA - WORCESTER"/>
    <n v="1029"/>
    <n v="907"/>
    <n v="1"/>
    <x v="2"/>
    <n v="0.8814382896015549"/>
  </r>
  <r>
    <s v="ACG26"/>
    <s v="NEWMEDICA - NORTH DERBYSHIRE - MIDLAND COURT"/>
    <n v="1162"/>
    <n v="1049"/>
    <n v="1"/>
    <x v="2"/>
    <n v="0.90275387263339069"/>
  </r>
  <r>
    <s v="AAV"/>
    <s v="COMMUNITY HEALTH AND EYECARE LIMITED"/>
    <n v="4754"/>
    <n v="4113"/>
    <n v="1"/>
    <x v="1"/>
    <n v="0.86516617585191413"/>
  </r>
  <r>
    <s v="NT416"/>
    <s v="HENDON HOSPITAL"/>
    <n v="1296"/>
    <n v="987"/>
    <n v="1"/>
    <x v="2"/>
    <n v="0.76157407407407407"/>
  </r>
  <r>
    <s v="L6O7H"/>
    <s v="SPAMEDICA POOLE"/>
    <n v="1026"/>
    <n v="904"/>
    <n v="1"/>
    <x v="2"/>
    <n v="0.88109161793372315"/>
  </r>
  <r>
    <s v="NVC0I"/>
    <s v="BEACON PARK HOSPITAL"/>
    <n v="1177"/>
    <n v="725"/>
    <n v="1"/>
    <x v="2"/>
    <n v="0.61597281223449452"/>
  </r>
  <r>
    <s v="NT315"/>
    <s v="SPIRE BUSHEY HOSPITAL"/>
    <n v="1322"/>
    <n v="1268"/>
    <n v="1"/>
    <x v="2"/>
    <n v="0.9591527987897126"/>
  </r>
  <r>
    <s v="NTP13"/>
    <s v="PRACTICE PLUS GROUP HOSPITAL - BARLBOROUGH"/>
    <n v="1941"/>
    <n v="1476"/>
    <n v="1"/>
    <x v="2"/>
    <n v="0.7604327666151468"/>
  </r>
  <r>
    <s v="NVC17"/>
    <s v="ROWLEY HALL HOSPITAL"/>
    <n v="2360"/>
    <n v="1480"/>
    <n v="1"/>
    <x v="2"/>
    <n v="0.6271186440677966"/>
  </r>
  <r>
    <s v="NT350"/>
    <s v="SPIRE METHLEY PARK HOSPITAL"/>
    <n v="1032"/>
    <n v="919"/>
    <n v="1"/>
    <x v="2"/>
    <n v="0.89050387596899228"/>
  </r>
  <r>
    <s v="Y9S1N"/>
    <s v="FAIRFIELD INDEPENDENT HOSPITAL"/>
    <n v="1474"/>
    <n v="1123"/>
    <n v="1"/>
    <x v="2"/>
    <n v="0.76187245590230668"/>
  </r>
  <r>
    <s v="NT451"/>
    <s v="CAVELL HOSPITAL"/>
    <n v="1596"/>
    <n v="1060"/>
    <n v="1"/>
    <x v="2"/>
    <n v="0.66416040100250628"/>
  </r>
  <r>
    <s v="F7F6D"/>
    <s v="NEWMEDICA - HERTFORSHIRE - WELWYN GARDEN CITY"/>
    <n v="1407"/>
    <n v="857"/>
    <n v="1"/>
    <x v="1"/>
    <n v="0.6090973702914001"/>
  </r>
  <r>
    <s v="S1Z4X"/>
    <s v="NEWMEDICA - BIRMINGHAM"/>
    <n v="1074"/>
    <n v="999"/>
    <n v="1"/>
    <x v="1"/>
    <n v="0.93016759776536317"/>
  </r>
  <r>
    <s v="RPY"/>
    <s v="THE ROYAL MARSDEN NHS FOUNDATION TRUST"/>
    <n v="1681"/>
    <n v="1560"/>
    <n v="1"/>
    <x v="1"/>
    <n v="0.92801903628792382"/>
  </r>
  <r>
    <s v="NVC0R"/>
    <s v="TEES VALLEY HOSPITAL"/>
    <n v="4284"/>
    <n v="3335"/>
    <n v="1"/>
    <x v="2"/>
    <n v="0.77847805788982261"/>
  </r>
  <r>
    <s v="AVQ01"/>
    <s v="ONE ASHFORD HOSPITAL"/>
    <n v="1028"/>
    <n v="778"/>
    <n v="1"/>
    <x v="1"/>
    <n v="0.75680933852140075"/>
  </r>
  <r>
    <s v="RW5"/>
    <s v="LANCASHIRE &amp; SOUTH CUMBRIA NHS FOUNDATION TRUST"/>
    <n v="3267"/>
    <n v="2807"/>
    <n v="0"/>
    <x v="2"/>
    <n v="0.85919804101622288"/>
  </r>
  <r>
    <s v="RBV"/>
    <s v="THE CHRISTIE NHS FOUNDATION TRUST"/>
    <n v="3086"/>
    <n v="3008"/>
    <n v="0"/>
    <x v="2"/>
    <n v="0.97472456254050555"/>
  </r>
  <r>
    <s v="K8I4X"/>
    <s v="GLENDON WOOD HOSPITAL"/>
    <n v="1681"/>
    <n v="1238"/>
    <n v="0"/>
    <x v="1"/>
    <n v="0.73646638905413442"/>
  </r>
  <r>
    <s v="J3J8Z"/>
    <s v="NEWMEDICA - OXFORDSHIRE"/>
    <n v="1154"/>
    <n v="757"/>
    <n v="0"/>
    <x v="1"/>
    <n v="0.65597920277296362"/>
  </r>
  <r>
    <s v="NVC23"/>
    <s v="WOODLAND HOSPITAL"/>
    <n v="4290"/>
    <n v="2814"/>
    <n v="0"/>
    <x v="2"/>
    <n v="0.65594405594405591"/>
  </r>
  <r>
    <s v="NVC40"/>
    <s v="WOODTHORPE HOSPITAL"/>
    <n v="3828"/>
    <n v="3045"/>
    <n v="0"/>
    <x v="2"/>
    <n v="0.79545454545454541"/>
  </r>
  <r>
    <s v="DPK"/>
    <s v="THE STONEYGATE EYE HOSPITAL"/>
    <n v="1002"/>
    <n v="740"/>
    <n v="0"/>
    <x v="1"/>
    <n v="0.73852295409181634"/>
  </r>
  <r>
    <s v="DFQ"/>
    <s v="NORWICH &amp; NORFOLK SURGICAL LTD (N2S)"/>
    <n v="1267"/>
    <n v="1008"/>
    <n v="0"/>
    <x v="1"/>
    <n v="0.79558011049723754"/>
  </r>
  <r>
    <s v="RXG"/>
    <s v="SOUTH WEST YORKSHIRE PARTNERSHIP TEACHING NHS FOUNDATION TRUST"/>
    <n v="4705"/>
    <n v="4601"/>
    <n v="0"/>
    <x v="2"/>
    <n v="0.97789585547290114"/>
  </r>
  <r>
    <s v="NWV01"/>
    <s v="COHESE HEALTHCARE"/>
    <n v="1120"/>
    <n v="1102"/>
    <n v="0"/>
    <x v="1"/>
    <n v="0.98392857142857137"/>
  </r>
  <r>
    <s v="ADP02"/>
    <s v="KIMS HOSPITAL (NEWNHAM COURT)"/>
    <n v="1206"/>
    <n v="1066"/>
    <n v="0"/>
    <x v="2"/>
    <n v="0.88391376451077941"/>
  </r>
  <r>
    <s v="ACG24"/>
    <s v="NEWMEDICA - TEESSIDE - NORTH ORMESBY"/>
    <n v="1641"/>
    <n v="1515"/>
    <n v="0"/>
    <x v="1"/>
    <n v="0.92321755027422303"/>
  </r>
  <r>
    <s v="RXW"/>
    <s v="THE SHREWSBURY AND TELFORD HOSPITAL NHS TRUST"/>
    <n v="38312"/>
    <n v="26122"/>
    <n v="0"/>
    <x v="2"/>
    <n v="0.68182292754228435"/>
  </r>
  <r>
    <s v="R0B"/>
    <s v="SOUTH TYNESIDE AND SUNDERLAND NHS FOUNDATION TRUST"/>
    <n v="61717"/>
    <n v="46214"/>
    <n v="0"/>
    <x v="2"/>
    <n v="0.74880502940842875"/>
  </r>
  <r>
    <s v="NT411"/>
    <s v="CLEMENTINE CHURCHILL HOSPITAL"/>
    <n v="2261"/>
    <n v="2259"/>
    <n v="0"/>
    <x v="2"/>
    <n v="0.99911543564794336"/>
  </r>
  <r>
    <s v="NT420"/>
    <s v="HIGHFIELD HOSPITAL"/>
    <n v="1064"/>
    <n v="701"/>
    <n v="0"/>
    <x v="2"/>
    <n v="0.65883458646616544"/>
  </r>
  <r>
    <s v="RW1"/>
    <s v="HAMPSHIRE AND ISLE OF WIGHT HEALTHCARE NHS FOUNDATION TRUST"/>
    <n v="4576"/>
    <n v="3917"/>
    <n v="0"/>
    <x v="2"/>
    <n v="0.85598776223776218"/>
  </r>
  <r>
    <s v="NT403"/>
    <s v="BEARDWOOD HOSPITAL"/>
    <n v="1706"/>
    <n v="1388"/>
    <n v="0"/>
    <x v="2"/>
    <n v="0.81359906213364597"/>
  </r>
  <r>
    <s v="NT351"/>
    <s v="SPIRE HULL AND EAST RIDING HOSPITAL"/>
    <n v="3201"/>
    <n v="2077"/>
    <n v="0"/>
    <x v="2"/>
    <n v="0.64885973133395813"/>
  </r>
  <r>
    <s v="NT424"/>
    <s v="MERIDEN HOSPITAL"/>
    <n v="1968"/>
    <n v="1677"/>
    <n v="0"/>
    <x v="2"/>
    <n v="0.85213414634146345"/>
  </r>
  <r>
    <s v="NT339"/>
    <s v="SPIRE REGENCY HOSPITAL"/>
    <n v="2696"/>
    <n v="2430"/>
    <n v="0"/>
    <x v="2"/>
    <n v="0.9013353115727003"/>
  </r>
  <r>
    <s v="NT448"/>
    <s v="HUDDERSFIELD PRIVATE HOSPITAL"/>
    <n v="1102"/>
    <n v="954"/>
    <n v="0"/>
    <x v="2"/>
    <n v="0.8656987295825771"/>
  </r>
  <r>
    <s v="RMP"/>
    <s v="TAMESIDE AND GLOSSOP INTEGRATED CARE NHS FOUNDATION TRUST"/>
    <n v="16487"/>
    <n v="12950"/>
    <n v="0"/>
    <x v="2"/>
    <n v="0.78546733790258993"/>
  </r>
  <r>
    <s v="NT332"/>
    <s v="SPIRE LEEDS HOSPITAL"/>
    <n v="1073"/>
    <n v="890"/>
    <n v="0"/>
    <x v="2"/>
    <n v="0.8294501397949674"/>
  </r>
  <r>
    <s v="NT324"/>
    <s v="SPIRE CHESHIRE HOSPITAL"/>
    <n v="1407"/>
    <n v="1222"/>
    <n v="0"/>
    <x v="2"/>
    <n v="0.8685145700071073"/>
  </r>
  <r>
    <s v="NT450"/>
    <s v="LINCOLN PRIVATE HOSPITAL"/>
    <n v="1062"/>
    <n v="818"/>
    <n v="0"/>
    <x v="2"/>
    <n v="0.77024482109227876"/>
  </r>
  <r>
    <s v="NT490"/>
    <s v="SOUTHEND PRIVATE HOSPITAL"/>
    <n v="1192"/>
    <n v="978"/>
    <n v="0"/>
    <x v="2"/>
    <n v="0.82046979865771807"/>
  </r>
  <r>
    <s v="NTPAD"/>
    <s v="PRACTICE PLUS GROUP SURGICAL CENTRE - ST MARYS PORTSMOUTH"/>
    <n v="2035"/>
    <n v="1897"/>
    <n v="0"/>
    <x v="1"/>
    <n v="0.9321867321867322"/>
  </r>
  <r>
    <s v="NTPAE"/>
    <s v="PRACTICE PLUS GROUP OPHTHALMOLOGY - NORTH WEST"/>
    <n v="1183"/>
    <n v="1139"/>
    <n v="0"/>
    <x v="2"/>
    <n v="0.96280642434488584"/>
  </r>
  <r>
    <s v="NTPH2"/>
    <s v="PRACTICE PLUS GROUP HOSPITAL - EMERSONS GREEN"/>
    <n v="5198"/>
    <n v="3860"/>
    <n v="0"/>
    <x v="2"/>
    <n v="0.74259330511735278"/>
  </r>
  <r>
    <s v="NT237"/>
    <s v="NUFFIELD HEALTH, TEES HOSPITAL"/>
    <n v="2020"/>
    <n v="1420"/>
    <n v="0"/>
    <x v="1"/>
    <n v="0.70297029702970293"/>
  </r>
  <r>
    <s v="NTPH3"/>
    <s v="PRACTICE PLUS GROUP SURGICAL CENTRE - DEVIZES"/>
    <n v="2494"/>
    <n v="2027"/>
    <n v="0"/>
    <x v="2"/>
    <n v="0.81275060144346434"/>
  </r>
  <r>
    <s v="NRP"/>
    <s v="BEACON MEDICAL SERVICES GROUP LIMITED"/>
    <n v="4431"/>
    <n v="4224"/>
    <n v="0"/>
    <x v="2"/>
    <n v="0.95328368314150302"/>
  </r>
  <r>
    <s v="NQT5K"/>
    <s v="ST MARTINS HOSPITAL"/>
    <n v="1190"/>
    <n v="576"/>
    <n v="0"/>
    <x v="1"/>
    <n v="0.48403361344537815"/>
  </r>
  <r>
    <s v="RRE"/>
    <s v="MIDLANDS PARTNERSHIP UNIVERSITY NHS FOUNDATION TRUST"/>
    <n v="10166"/>
    <n v="9222"/>
    <n v="0"/>
    <x v="2"/>
    <n v="0.90714145189848516"/>
  </r>
  <r>
    <s v="NQH"/>
    <s v="NOVUS HEALTH LTD"/>
    <n v="1297"/>
    <n v="1279"/>
    <n v="0"/>
    <x v="2"/>
    <n v="0.98612181958365464"/>
  </r>
  <r>
    <s v="NPR01"/>
    <s v="ABOUT HEALTH HQ"/>
    <n v="1946"/>
    <n v="1946"/>
    <n v="0"/>
    <x v="2"/>
    <n v="1"/>
  </r>
  <r>
    <s v="NNH07"/>
    <s v="OPTEGRA LONDON EYE HOSPITAL"/>
    <n v="1255"/>
    <n v="1013"/>
    <n v="0"/>
    <x v="2"/>
    <n v="0.80717131474103587"/>
  </r>
  <r>
    <s v="NNH02"/>
    <s v="OPTEGRA YORKSHIRE EYE HOSPITAL"/>
    <n v="1056"/>
    <n v="747"/>
    <n v="0"/>
    <x v="2"/>
    <n v="0.70738636363636365"/>
  </r>
  <r>
    <s v="RTF"/>
    <s v="NORTHUMBRIA HEALTHCARE NHS FOUNDATION TRUST"/>
    <n v="39285"/>
    <n v="32847"/>
    <n v="0"/>
    <x v="2"/>
    <n v="0.83612065673921343"/>
  </r>
  <r>
    <s v="NLE01"/>
    <s v="LANCASTER HOUSE CONSULTING DIAGNOSTICS SURGICAL LTD HQ"/>
    <n v="1136"/>
    <n v="858"/>
    <n v="0"/>
    <x v="2"/>
    <n v="0.75528169014084512"/>
  </r>
  <r>
    <s v="NL8"/>
    <s v="LOCALA COMMUNITY PARTNERSHIPS CIC"/>
    <n v="1552"/>
    <n v="1230"/>
    <n v="0"/>
    <x v="1"/>
    <n v="0.79252577319587625"/>
  </r>
  <r>
    <s v="NCR"/>
    <s v="ISIGHT"/>
    <n v="1266"/>
    <n v="1029"/>
    <n v="0"/>
    <x v="1"/>
    <n v="0.8127962085308057"/>
  </r>
  <r>
    <s v="NVC12"/>
    <s v="OAKLANDS HOSPITAL"/>
    <n v="2982"/>
    <n v="2287"/>
    <n v="0"/>
    <x v="2"/>
    <n v="0.76693494299128107"/>
  </r>
  <r>
    <s v="M4C5R"/>
    <s v="NEWMEDICA - NORTHAMPTON"/>
    <n v="1231"/>
    <n v="950"/>
    <n v="0"/>
    <x v="1"/>
    <n v="0.77173030056864333"/>
  </r>
  <r>
    <s v="RYY"/>
    <s v="KENT COMMUNITY HEALTH NHS FOUNDATION TRUST"/>
    <n v="4655"/>
    <n v="4644"/>
    <n v="0"/>
    <x v="2"/>
    <n v="0.997636949516648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47B38-F2A9-4B06-BBD0-3B1A2A968922}" name="OperationalSignal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L12" firstHeaderRow="0" firstDataRow="1" firstDataCol="1"/>
  <pivotFields count="7">
    <pivotField showAll="0"/>
    <pivotField showAll="0"/>
    <pivotField dataField="1" numFmtId="164" showAll="0"/>
    <pivotField numFmtId="164" showAll="0"/>
    <pivotField dataField="1" numFmtId="164" showAll="0"/>
    <pivotField axis="axisRow" showAll="0">
      <items count="4">
        <item x="2"/>
        <item x="0"/>
        <item x="1"/>
        <item t="default"/>
      </items>
    </pivotField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athways by signal" fld="2" baseField="0" baseItem="0" numFmtId="164"/>
    <dataField name="Over52 by signal" fld="4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FC1CD-AB84-4C8B-AA5D-7F001AF0CE7F}" name="RttReport" displayName="RttReport" ref="B8:F32" totalsRowShown="0" headerRowDxfId="73" dataDxfId="72">
  <autoFilter ref="B8:F32" xr:uid="{D33FC1CD-AB84-4C8B-AA5D-7F001AF0CE7F}"/>
  <tableColumns count="5">
    <tableColumn id="1" xr3:uid="{EEDE4AF4-0391-46B5-90F0-19F52C9A8BDE}" name="Month" dataDxfId="71"/>
    <tableColumn id="2" xr3:uid="{35F071FA-2EFD-40F9-9129-E45232D560D9}" name="Incomplete pathways" dataDxfId="70"/>
    <tableColumn id="3" xr3:uid="{46239879-29D7-487F-A751-6F1CF5046F97}" name="Within18" dataDxfId="69"/>
    <tableColumn id="4" xr3:uid="{28487FC4-BB0D-4435-93E4-2E916846A49B}" name="Over52" dataDxfId="68"/>
    <tableColumn id="5" xr3:uid="{EDE8B228-9623-411C-AC7E-11E3BF29F628}" name="Within18 rate" dataDxfId="67">
      <calculatedColumnFormula>IFERROR($D9/$C9,"")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353ED4-AAFC-47E1-8A6B-D2CFAB22A0AC}" name="AeReport" displayName="AeReport" ref="B8:G33" totalsRowShown="0" headerRowDxfId="66" dataDxfId="65">
  <autoFilter ref="B8:G33" xr:uid="{02353ED4-AAFC-47E1-8A6B-D2CFAB22A0AC}"/>
  <tableColumns count="6">
    <tableColumn id="1" xr3:uid="{B99A4112-EF61-4F44-B2BF-B8CF28B5FCD6}" name="Month" dataDxfId="64"/>
    <tableColumn id="2" xr3:uid="{C0360B18-36F7-4F93-AA94-058DA09A08DD}" name="Attendances" dataDxfId="63"/>
    <tableColumn id="3" xr3:uid="{D3B11B06-DFD7-4E87-970B-8970C9230103}" name="Within4" dataDxfId="62"/>
    <tableColumn id="4" xr3:uid="{EC230A99-1672-43CF-A49D-2D9F429F7F4B}" name="Emergency admissions" dataDxfId="61"/>
    <tableColumn id="5" xr3:uid="{0DC9172B-723C-438B-AC26-8B98C10B1C45}" name="DTA12plus" dataDxfId="60"/>
    <tableColumn id="6" xr3:uid="{C5278027-C9F1-4510-B451-9448F4DB6062}" name="Within4 rate" dataDxfId="59">
      <calculatedColumnFormula>IFERROR($D9/$C9,"")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97D620-77BA-45CB-AEEB-3611394C305F}" name="DiagnosticsReport" displayName="DiagnosticsReport" ref="B8:F32" totalsRowShown="0" headerRowDxfId="58" dataDxfId="57">
  <autoFilter ref="B8:F32" xr:uid="{4397D620-77BA-45CB-AEEB-3611394C305F}"/>
  <tableColumns count="5">
    <tableColumn id="1" xr3:uid="{1A2B24C9-AA55-41AB-8077-53F935EDF3C9}" name="Month" dataDxfId="56"/>
    <tableColumn id="2" xr3:uid="{7DD4B66A-CA90-4392-8EC0-73E76756E8AD}" name="Waiting list" dataDxfId="55"/>
    <tableColumn id="3" xr3:uid="{958CE7F2-38D5-4832-AE58-CF6A49890F0A}" name="Six weeks or more" dataDxfId="54"/>
    <tableColumn id="4" xr3:uid="{9450DA64-AD53-4BA0-B25D-CCA4D564A30C}" name="Activity" dataDxfId="53"/>
    <tableColumn id="5" xr3:uid="{EA6B3FEA-6D4E-40D1-8A57-8058C7D911F6}" name="Six-week rate" dataDxfId="52">
      <calculatedColumnFormula>IFERROR($D9/$C9,"")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CF35CA-95AB-4304-AF4F-747114E1DBE3}" name="Providers" displayName="Providers" ref="B8:H278" totalsRowShown="0" headerRowDxfId="51" dataDxfId="50">
  <autoFilter ref="B8:H278" xr:uid="{83CF35CA-95AB-4304-AF4F-747114E1DBE3}"/>
  <tableColumns count="7">
    <tableColumn id="1" xr3:uid="{AF0BAACE-BEE8-4F1E-9E0D-96E46C7914FF}" name="Provider code" dataDxfId="49"/>
    <tableColumn id="2" xr3:uid="{F6D62EAB-2F11-4BEF-ABC7-4F5C2D257076}" name="Provider name" dataDxfId="48"/>
    <tableColumn id="3" xr3:uid="{DA723D66-7C72-49BC-8888-A76EBD3E6501}" name="RTT pathways" dataDxfId="47"/>
    <tableColumn id="4" xr3:uid="{E6A3AFF2-113B-4A07-B9E2-69E889AA05D6}" name="Within18" dataDxfId="46"/>
    <tableColumn id="5" xr3:uid="{F28BB72F-447F-4122-B1BF-E1E7DDF91E80}" name="Over52" dataDxfId="45"/>
    <tableColumn id="6" xr3:uid="{148EB31F-3452-472A-9AC3-DF92DB077AF8}" name="Review signal" dataDxfId="44"/>
    <tableColumn id="7" xr3:uid="{BE0A32E0-EC48-4693-A848-0345111E6B61}" name="Within18 rate" dataDxfId="43">
      <calculatedColumnFormula>IFERROR($E9/$D9,"")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282342-C564-48C0-8D52-D99F0DB4DBBD}" name="MonthlyRates" displayName="MonthlyRates" ref="B8:E33" totalsRowShown="0" headerRowDxfId="42" dataDxfId="41">
  <autoFilter ref="B8:E33" xr:uid="{DE282342-C564-48C0-8D52-D99F0DB4DBBD}"/>
  <tableColumns count="4">
    <tableColumn id="1" xr3:uid="{7176DBC8-00F0-4EC1-909D-D649FC835824}" name="Month" dataDxfId="40"/>
    <tableColumn id="2" xr3:uid="{988DDF17-7AE7-4EFE-97BF-BE2AC9147A2B}" name="RTT within18 rate" dataDxfId="39">
      <calculatedColumnFormula>IFERROR(SUMIFS(NationalData[RTT within18],NationalData[Month],B9)/SUMIFS(NationalData[RTT waiting],NationalData[Month],B9),"")</calculatedColumnFormula>
    </tableColumn>
    <tableColumn id="3" xr3:uid="{85E2B5AA-3D4A-41A4-9EF2-5C2D089E1CF4}" name="AE within4 rate" dataDxfId="38">
      <calculatedColumnFormula>IFERROR(SUMIFS(NationalData[AE within4],NationalData[Month],B9)/SUMIFS(NationalData[AE attendances],NationalData[Month],B9),"")</calculatedColumnFormula>
    </tableColumn>
    <tableColumn id="4" xr3:uid="{DEB959F6-D162-49A3-ABBF-07DA2B0C9EBF}" name="Diagnostics six-week rate" dataDxfId="37">
      <calculatedColumnFormula>IFERROR(SUMIFS(NationalData[Diagnostic over6],NationalData[Month],B9)/SUMIFS(NationalData[Diagnostic waiting],NationalData[Month],B9),"")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241AB6-10BC-4B3D-8DCC-1EA0F97A8F58}" name="PrioritiesTable" displayName="PrioritiesTable" ref="B8:E23" totalsRowShown="0" headerRowDxfId="36" dataDxfId="35">
  <autoFilter ref="B8:E23" xr:uid="{26241AB6-10BC-4B3D-8DCC-1EA0F97A8F58}"/>
  <tableColumns count="4">
    <tableColumn id="1" xr3:uid="{299A039B-B7C0-4233-B832-618FFC46A1EC}" name="Code" dataDxfId="34"/>
    <tableColumn id="2" xr3:uid="{54AE851C-6407-41DE-9FDF-C99A34FCE5A9}" name="Provider" dataDxfId="33"/>
    <tableColumn id="3" xr3:uid="{D3605DD7-1456-43E4-9109-92B255D68B62}" name="Over52" dataDxfId="32"/>
    <tableColumn id="4" xr3:uid="{D628CCC2-E656-4942-914D-BDCE72056073}" name="Review signal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DF6ED3-2DD4-436C-BF26-A85C5C25A2B4}" name="KPIDefinitions" displayName="KPIDefinitions" ref="B8:F41" totalsRowShown="0" headerRowDxfId="30" dataDxfId="29">
  <autoFilter ref="B8:F41" xr:uid="{47DF6ED3-2DD4-436C-BF26-A85C5C25A2B4}"/>
  <tableColumns count="5">
    <tableColumn id="1" xr3:uid="{49052BAE-DFF0-4FDD-8130-525963FB9A42}" name="KPI" dataDxfId="28"/>
    <tableColumn id="2" xr3:uid="{D1DDE67A-E871-44E3-86DC-2F295EA341C7}" name="Meaning" dataDxfId="27"/>
    <tableColumn id="3" xr3:uid="{A0869F7A-95A6-4038-A184-D871FCBACE15}" name="Numerator" dataDxfId="26"/>
    <tableColumn id="4" xr3:uid="{0B2339BD-E6EE-4D4F-9471-C53E56554C6E}" name="Denominator" dataDxfId="25"/>
    <tableColumn id="5" xr3:uid="{794581AB-FFA4-41A9-9451-DEB23045AF2C}" name="Caveat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338578-52F3-4297-9DBE-39F8F5BC7BD2}" name="QualityControls" displayName="QualityControls" ref="B8:D14" totalsRowShown="0" headerRowDxfId="23" dataDxfId="22">
  <autoFilter ref="B8:D14" xr:uid="{DA338578-52F3-4297-9DBE-39F8F5BC7BD2}"/>
  <tableColumns count="3">
    <tableColumn id="1" xr3:uid="{6C744DFF-AF06-4064-811C-6C791111F004}" name="Control" dataDxfId="21"/>
    <tableColumn id="2" xr3:uid="{A57FE646-EA95-4A41-B3C5-6D97C1F59E53}" name="Actual evidence" dataDxfId="20"/>
    <tableColumn id="3" xr3:uid="{122A1322-602E-400A-9F17-39070CD7BE46}" name="Status" dataDxfId="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ABCD8A-E55E-4696-92B5-A2532238D8E1}" name="SourceProvenance" displayName="SourceProvenance" ref="B23:E96" totalsRowShown="0" headerRowDxfId="18" dataDxfId="17">
  <autoFilter ref="B23:E96" xr:uid="{18ABCD8A-E55E-4696-92B5-A2532238D8E1}"/>
  <tableColumns count="4">
    <tableColumn id="1" xr3:uid="{43C4FAC1-5301-4FAC-8537-DC0CFE1BFBFC}" name="Dataset" dataDxfId="16"/>
    <tableColumn id="2" xr3:uid="{3F6A1AE6-E2D5-4246-B66F-38CF75EE4190}" name="Reporting month" dataDxfId="15"/>
    <tableColumn id="3" xr3:uid="{0F07EAFE-EA29-47FB-907D-416109DDAB65}" name="Publication date" dataDxfId="14"/>
    <tableColumn id="4" xr3:uid="{177C73C2-3B0F-4799-A68E-243C15AE01E2}" name="Source URL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7C403-0C1C-48A0-9D45-BC4FF59BD373}" name="NationalData" displayName="NationalData" ref="B8:L33" totalsRowShown="0" headerRowDxfId="12" dataDxfId="11">
  <autoFilter ref="B8:L33" xr:uid="{DE17C403-0C1C-48A0-9D45-BC4FF59BD373}"/>
  <tableColumns count="11">
    <tableColumn id="1" xr3:uid="{25A39200-F9A1-4C27-BC7A-CD7E54B16B29}" name="Month" dataDxfId="10"/>
    <tableColumn id="2" xr3:uid="{B151D857-CAC6-4763-BB7E-5D2E14748C2C}" name="RTT waiting" dataDxfId="9"/>
    <tableColumn id="3" xr3:uid="{914EFB50-8F59-4EA1-9342-74DF73CDE9E2}" name="RTT within18" dataDxfId="8"/>
    <tableColumn id="4" xr3:uid="{B2E70647-4BFF-461A-BFC5-E95ACDF1878E}" name="RTT over52" dataDxfId="7"/>
    <tableColumn id="5" xr3:uid="{EC45D52A-39C2-4892-8F1E-AAEDBB15725C}" name="AE attendances" dataDxfId="6"/>
    <tableColumn id="6" xr3:uid="{DC235343-AFC4-4577-9CEF-50CDC5F07FEB}" name="AE within4" dataDxfId="5"/>
    <tableColumn id="7" xr3:uid="{CE4DE12F-9269-43C9-9853-A696AB2F3119}" name="Emergency admissions" dataDxfId="4"/>
    <tableColumn id="8" xr3:uid="{00372A5B-6D4A-4E2E-94B5-756709727D74}" name="DTA12plus" dataDxfId="3"/>
    <tableColumn id="9" xr3:uid="{E3A814CD-C502-4A9A-A011-698AB74A97A1}" name="Diagnostic waiting" dataDxfId="2"/>
    <tableColumn id="10" xr3:uid="{F8F4FD5F-2BA1-4469-B858-1A4C9787D583}" name="Diagnostic over6" dataDxfId="1"/>
    <tableColumn id="11" xr3:uid="{93E7987E-FA3C-4416-8F2F-55B0EC1E79E1}" name="Diagnostic ac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and.nhs.uk/statistics/wp-content/uploads/sites/2/2025/07/DM01-SEPTEMBER-2024-full-extract.zip" TargetMode="External"/><Relationship Id="rId21" Type="http://schemas.openxmlformats.org/officeDocument/2006/relationships/hyperlink" Target="https://www.england.nhs.uk/statistics/wp-content/uploads/sites/2/2026/06/May-2026-CSV-F4flrg.csv" TargetMode="External"/><Relationship Id="rId42" Type="http://schemas.openxmlformats.org/officeDocument/2006/relationships/hyperlink" Target="https://www.england.nhs.uk/statistics/wp-content/uploads/sites/2/2026/09/DM01-JANUARY-2026-full-extract_5WSGC.zip" TargetMode="External"/><Relationship Id="rId47" Type="http://schemas.openxmlformats.org/officeDocument/2006/relationships/hyperlink" Target="https://www.england.nhs.uk/statistics/wp-content/uploads/sites/2/2026/08/DM01-JUNE-2026-full-extract_P1BDL.zip" TargetMode="External"/><Relationship Id="rId63" Type="http://schemas.openxmlformats.org/officeDocument/2006/relationships/hyperlink" Target="https://www.england.nhs.uk/statistics/wp-content/uploads/sites/2/2025/12/Full-CSV-data-file-Oct25-ZIP-4M-SrRW6y.zip" TargetMode="External"/><Relationship Id="rId68" Type="http://schemas.openxmlformats.org/officeDocument/2006/relationships/hyperlink" Target="https://www.england.nhs.uk/statistics/wp-content/uploads/sites/2/2026/07/Full-CSV-data-file-Mar26-ZIP-3M-revised.zip" TargetMode="External"/><Relationship Id="rId2" Type="http://schemas.openxmlformats.org/officeDocument/2006/relationships/hyperlink" Target="https://www.england.nhs.uk/statistics/wp-content/uploads/sites/2/2025/05/Monthly-AE-October-2024-revised.csv" TargetMode="External"/><Relationship Id="rId16" Type="http://schemas.openxmlformats.org/officeDocument/2006/relationships/hyperlink" Target="https://www.england.nhs.uk/statistics/wp-content/uploads/sites/2/2026/05/Monthly-AE-December-2025-revised-g9Hy6.csv" TargetMode="External"/><Relationship Id="rId29" Type="http://schemas.openxmlformats.org/officeDocument/2006/relationships/hyperlink" Target="https://www.england.nhs.uk/statistics/wp-content/uploads/sites/2/2025/07/DM01-DECEMBER-2024-full-extract.zip" TargetMode="External"/><Relationship Id="rId11" Type="http://schemas.openxmlformats.org/officeDocument/2006/relationships/hyperlink" Target="https://www.england.nhs.uk/statistics/wp-content/uploads/sites/2/2025/11/July-2025-CSV-revised.csv" TargetMode="External"/><Relationship Id="rId24" Type="http://schemas.openxmlformats.org/officeDocument/2006/relationships/hyperlink" Target="https://www.england.nhs.uk/statistics/wp-content/uploads/sites/2/2026/09/August-2026-CSV-De2k3n.csv" TargetMode="External"/><Relationship Id="rId32" Type="http://schemas.openxmlformats.org/officeDocument/2006/relationships/hyperlink" Target="https://www.england.nhs.uk/statistics/wp-content/uploads/sites/2/2026/04/DM01-MARCH-2025-full-extract_M0N7G.zip" TargetMode="External"/><Relationship Id="rId37" Type="http://schemas.openxmlformats.org/officeDocument/2006/relationships/hyperlink" Target="https://www.england.nhs.uk/statistics/wp-content/uploads/sites/2/2026/04/DM01-AUGUST-2025-full-extract_M0N7G.zip" TargetMode="External"/><Relationship Id="rId40" Type="http://schemas.openxmlformats.org/officeDocument/2006/relationships/hyperlink" Target="https://www.england.nhs.uk/statistics/wp-content/uploads/sites/2/2026/09/DM01-NOVEMBER-2025-full-extract_5WSGC.zip" TargetMode="External"/><Relationship Id="rId45" Type="http://schemas.openxmlformats.org/officeDocument/2006/relationships/hyperlink" Target="https://www.england.nhs.uk/statistics/wp-content/uploads/sites/2/2026/06/DM01-APRIL-2026-full-extract.zip" TargetMode="External"/><Relationship Id="rId53" Type="http://schemas.openxmlformats.org/officeDocument/2006/relationships/hyperlink" Target="https://www.england.nhs.uk/statistics/wp-content/uploads/sites/2/2025/07/Full-CSV-data-file-Dec24-ZIP-4M-revised.zip" TargetMode="External"/><Relationship Id="rId58" Type="http://schemas.openxmlformats.org/officeDocument/2006/relationships/hyperlink" Target="https://www.england.nhs.uk/statistics/wp-content/uploads/sites/2/2026/02/Full-CSV-data-file-May25-ZIP-4M-revised.zip" TargetMode="External"/><Relationship Id="rId66" Type="http://schemas.openxmlformats.org/officeDocument/2006/relationships/hyperlink" Target="https://www.england.nhs.uk/statistics/wp-content/uploads/sites/2/2026/03/Full-CSV-data-file-Jan26-ZIP-4M-WL5BiP.zip" TargetMode="External"/><Relationship Id="rId74" Type="http://schemas.openxmlformats.org/officeDocument/2006/relationships/printerSettings" Target="../printerSettings/printerSettings9.bin"/><Relationship Id="rId5" Type="http://schemas.openxmlformats.org/officeDocument/2006/relationships/hyperlink" Target="https://www.england.nhs.uk/statistics/wp-content/uploads/sites/2/2025/02/Monthly-AE-January-2025.csv" TargetMode="External"/><Relationship Id="rId61" Type="http://schemas.openxmlformats.org/officeDocument/2006/relationships/hyperlink" Target="https://www.england.nhs.uk/statistics/wp-content/uploads/sites/2/2026/02/Full-CSV-data-file-Aug25-ZIP-4M-revised-2.zip" TargetMode="External"/><Relationship Id="rId19" Type="http://schemas.openxmlformats.org/officeDocument/2006/relationships/hyperlink" Target="https://www.england.nhs.uk/statistics/wp-content/uploads/sites/2/2026/05/Monthly-AE-March-2026-revised-flkg42.csv" TargetMode="External"/><Relationship Id="rId14" Type="http://schemas.openxmlformats.org/officeDocument/2006/relationships/hyperlink" Target="https://www.england.nhs.uk/statistics/wp-content/uploads/sites/2/2026/05/Monthly-AE-October-2025-revised-fly02sk.csv" TargetMode="External"/><Relationship Id="rId22" Type="http://schemas.openxmlformats.org/officeDocument/2006/relationships/hyperlink" Target="https://www.england.nhs.uk/statistics/wp-content/uploads/sites/2/2026/07/June-2026-CSV-Wfg38l.csv" TargetMode="External"/><Relationship Id="rId27" Type="http://schemas.openxmlformats.org/officeDocument/2006/relationships/hyperlink" Target="https://www.england.nhs.uk/statistics/wp-content/uploads/sites/2/2025/07/DM01-OCTOBER-2024-full-extract.zip" TargetMode="External"/><Relationship Id="rId30" Type="http://schemas.openxmlformats.org/officeDocument/2006/relationships/hyperlink" Target="https://www.england.nhs.uk/statistics/wp-content/uploads/sites/2/2026/04/DM01-JANUARY-2025-full-extract_M0N7G.zip" TargetMode="External"/><Relationship Id="rId35" Type="http://schemas.openxmlformats.org/officeDocument/2006/relationships/hyperlink" Target="https://www.england.nhs.uk/statistics/wp-content/uploads/sites/2/2026/04/DM01-JUNE-2025-full-extract_M0N7G.zip" TargetMode="External"/><Relationship Id="rId43" Type="http://schemas.openxmlformats.org/officeDocument/2006/relationships/hyperlink" Target="https://www.england.nhs.uk/statistics/wp-content/uploads/sites/2/2026/09/DM01-FEBRUARY-2026-full-extract_5WSGC.zip" TargetMode="External"/><Relationship Id="rId48" Type="http://schemas.openxmlformats.org/officeDocument/2006/relationships/hyperlink" Target="https://www.england.nhs.uk/statistics/wp-content/uploads/sites/2/2026/09/DM01-JULY-2026-full-extract_5WSGC.zip" TargetMode="External"/><Relationship Id="rId56" Type="http://schemas.openxmlformats.org/officeDocument/2006/relationships/hyperlink" Target="https://www.england.nhs.uk/statistics/wp-content/uploads/sites/2/2025/07/Full-CSV-data-file-Mar25-ZIP-4M-revised.zip" TargetMode="External"/><Relationship Id="rId64" Type="http://schemas.openxmlformats.org/officeDocument/2006/relationships/hyperlink" Target="https://www.england.nhs.uk/statistics/wp-content/uploads/sites/2/2026/01/Full-CSV-data-file-Nov25-ZIP-4M-1Xmjkk.zip" TargetMode="External"/><Relationship Id="rId69" Type="http://schemas.openxmlformats.org/officeDocument/2006/relationships/hyperlink" Target="https://www.england.nhs.uk/statistics/wp-content/uploads/sites/2/2026/06/Full-CSV-data-file-Apr26-ZIP-3M-X7gGnn.zip" TargetMode="External"/><Relationship Id="rId8" Type="http://schemas.openxmlformats.org/officeDocument/2006/relationships/hyperlink" Target="https://www.england.nhs.uk/statistics/wp-content/uploads/sites/2/2025/11/April-2025-CSV-revised.csv" TargetMode="External"/><Relationship Id="rId51" Type="http://schemas.openxmlformats.org/officeDocument/2006/relationships/hyperlink" Target="https://www.england.nhs.uk/statistics/wp-content/uploads/sites/2/2025/07/Full-CSV-data-file-Oct24-ZIP-4M-revised.zip" TargetMode="External"/><Relationship Id="rId72" Type="http://schemas.openxmlformats.org/officeDocument/2006/relationships/hyperlink" Target="https://www.england.nhs.uk/statistics/wp-content/uploads/sites/2/2026/09/Full-CSV-data-file-Jul26-ZIP-4M-97ylx5.zip" TargetMode="External"/><Relationship Id="rId3" Type="http://schemas.openxmlformats.org/officeDocument/2006/relationships/hyperlink" Target="https://www.england.nhs.uk/statistics/wp-content/uploads/sites/2/2025/05/Monthly-AE-November-2024-revised.csv" TargetMode="External"/><Relationship Id="rId12" Type="http://schemas.openxmlformats.org/officeDocument/2006/relationships/hyperlink" Target="https://www.england.nhs.uk/statistics/wp-content/uploads/sites/2/2025/11/August-2025-CSV-revised.csv" TargetMode="External"/><Relationship Id="rId17" Type="http://schemas.openxmlformats.org/officeDocument/2006/relationships/hyperlink" Target="https://www.england.nhs.uk/statistics/wp-content/uploads/sites/2/2026/05/Monthly-AE-January-2026-revised-3dker.csv" TargetMode="External"/><Relationship Id="rId25" Type="http://schemas.openxmlformats.org/officeDocument/2006/relationships/hyperlink" Target="https://www.england.nhs.uk/statistics/wp-content/uploads/sites/2/2026/10/September-2026-CSV-Re72Eh.csv" TargetMode="External"/><Relationship Id="rId33" Type="http://schemas.openxmlformats.org/officeDocument/2006/relationships/hyperlink" Target="https://www.england.nhs.uk/statistics/wp-content/uploads/sites/2/2026/04/DM01-APRIL-2025-full-extract_M0N7G.zip" TargetMode="External"/><Relationship Id="rId38" Type="http://schemas.openxmlformats.org/officeDocument/2006/relationships/hyperlink" Target="https://www.england.nhs.uk/statistics/wp-content/uploads/sites/2/2026/09/DM01-SEPTEMBER-2025-full-extract_5WSGC.zip" TargetMode="External"/><Relationship Id="rId46" Type="http://schemas.openxmlformats.org/officeDocument/2006/relationships/hyperlink" Target="https://www.england.nhs.uk/statistics/wp-content/uploads/sites/2/2026/07/DM01-MAY-2026-full-extract_8BN1G.zip" TargetMode="External"/><Relationship Id="rId59" Type="http://schemas.openxmlformats.org/officeDocument/2006/relationships/hyperlink" Target="https://www.england.nhs.uk/statistics/wp-content/uploads/sites/2/2026/02/Full-CSV-data-file-Jun25-ZIP-4M-revised.zip" TargetMode="External"/><Relationship Id="rId67" Type="http://schemas.openxmlformats.org/officeDocument/2006/relationships/hyperlink" Target="https://www.england.nhs.uk/statistics/wp-content/uploads/sites/2/2026/04/Full-CSV-data-file-Feb26-ZIP-4M-9j03fJT.zip" TargetMode="External"/><Relationship Id="rId20" Type="http://schemas.openxmlformats.org/officeDocument/2006/relationships/hyperlink" Target="https://www.england.nhs.uk/statistics/wp-content/uploads/sites/2/2026/05/April-2026-CSV-QD21vf.csv" TargetMode="External"/><Relationship Id="rId41" Type="http://schemas.openxmlformats.org/officeDocument/2006/relationships/hyperlink" Target="https://www.england.nhs.uk/statistics/wp-content/uploads/sites/2/2026/09/DM01-DECEMBER-2025-full-extract_5WSGC.zip" TargetMode="External"/><Relationship Id="rId54" Type="http://schemas.openxmlformats.org/officeDocument/2006/relationships/hyperlink" Target="https://www.england.nhs.uk/statistics/wp-content/uploads/sites/2/2025/07/Full-CSV-data-file-Jan25-ZIP-4M-revised.zip" TargetMode="External"/><Relationship Id="rId62" Type="http://schemas.openxmlformats.org/officeDocument/2006/relationships/hyperlink" Target="https://www.england.nhs.uk/statistics/wp-content/uploads/sites/2/2026/02/Full-CSV-data-file-Sep25-ZIP-4M-revised.zip" TargetMode="External"/><Relationship Id="rId70" Type="http://schemas.openxmlformats.org/officeDocument/2006/relationships/hyperlink" Target="https://www.england.nhs.uk/statistics/wp-content/uploads/sites/2/2026/07/Full-CSV-data-file-May26-ZIP-3M-3jBgba.zip" TargetMode="External"/><Relationship Id="rId75" Type="http://schemas.openxmlformats.org/officeDocument/2006/relationships/table" Target="../tables/table8.xml"/><Relationship Id="rId1" Type="http://schemas.openxmlformats.org/officeDocument/2006/relationships/hyperlink" Target="https://www.england.nhs.uk/statistics/wp-content/uploads/sites/2/2024/10/Monthly-AE-September-2024.csv" TargetMode="External"/><Relationship Id="rId6" Type="http://schemas.openxmlformats.org/officeDocument/2006/relationships/hyperlink" Target="https://www.england.nhs.uk/statistics/wp-content/uploads/sites/2/2025/05/Monthly-AE-February-2025-revised.csv" TargetMode="External"/><Relationship Id="rId15" Type="http://schemas.openxmlformats.org/officeDocument/2006/relationships/hyperlink" Target="https://www.england.nhs.uk/statistics/wp-content/uploads/sites/2/2026/05/Monthly-AE-Nov-25-CSV-revised.csv" TargetMode="External"/><Relationship Id="rId23" Type="http://schemas.openxmlformats.org/officeDocument/2006/relationships/hyperlink" Target="https://www.england.nhs.uk/statistics/wp-content/uploads/sites/2/2026/08/July-2026-CSV-Trf28h.csv" TargetMode="External"/><Relationship Id="rId28" Type="http://schemas.openxmlformats.org/officeDocument/2006/relationships/hyperlink" Target="https://www.england.nhs.uk/statistics/wp-content/uploads/sites/2/2025/07/DM01-NOVEMBER-2024-full-extract.zip" TargetMode="External"/><Relationship Id="rId36" Type="http://schemas.openxmlformats.org/officeDocument/2006/relationships/hyperlink" Target="https://www.england.nhs.uk/statistics/wp-content/uploads/sites/2/2026/04/DM01-JULY-2025-full-extract_M0N7G.zip" TargetMode="External"/><Relationship Id="rId49" Type="http://schemas.openxmlformats.org/officeDocument/2006/relationships/hyperlink" Target="https://www.england.nhs.uk/statistics/wp-content/uploads/sites/2/2026/10/DM01-AUGUST-2026-full-extract_FT0CD.zip" TargetMode="External"/><Relationship Id="rId57" Type="http://schemas.openxmlformats.org/officeDocument/2006/relationships/hyperlink" Target="https://www.england.nhs.uk/statistics/wp-content/uploads/sites/2/2026/02/Full-CSV-data-file-Apr25-ZIP-4M-revised.zip" TargetMode="External"/><Relationship Id="rId10" Type="http://schemas.openxmlformats.org/officeDocument/2006/relationships/hyperlink" Target="https://www.england.nhs.uk/statistics/wp-content/uploads/sites/2/2025/11/June-2025-CSV-revised.csv" TargetMode="External"/><Relationship Id="rId31" Type="http://schemas.openxmlformats.org/officeDocument/2006/relationships/hyperlink" Target="https://www.england.nhs.uk/statistics/wp-content/uploads/sites/2/2026/04/DM01-FEBRUARY-2025-full-extract_M0N7G.zip" TargetMode="External"/><Relationship Id="rId44" Type="http://schemas.openxmlformats.org/officeDocument/2006/relationships/hyperlink" Target="https://www.england.nhs.uk/statistics/wp-content/uploads/sites/2/2026/09/DM01-MARCH-2026-full-extract_5WSGC.zip" TargetMode="External"/><Relationship Id="rId52" Type="http://schemas.openxmlformats.org/officeDocument/2006/relationships/hyperlink" Target="https://www.england.nhs.uk/statistics/wp-content/uploads/sites/2/2025/07/Full-CSV-data-file-Nov24-ZIP-4M-revised.zip" TargetMode="External"/><Relationship Id="rId60" Type="http://schemas.openxmlformats.org/officeDocument/2006/relationships/hyperlink" Target="https://www.england.nhs.uk/statistics/wp-content/uploads/sites/2/2026/02/Full-CSV-data-file-Jul25-ZIP-4M-revised-2.zip" TargetMode="External"/><Relationship Id="rId65" Type="http://schemas.openxmlformats.org/officeDocument/2006/relationships/hyperlink" Target="https://www.england.nhs.uk/statistics/wp-content/uploads/sites/2/2026/07/Full-CSV-data-file-Dec25-ZIP-3M-revised.zip" TargetMode="External"/><Relationship Id="rId73" Type="http://schemas.openxmlformats.org/officeDocument/2006/relationships/hyperlink" Target="https://www.england.nhs.uk/statistics/wp-content/uploads/sites/2/2026/10/Full-CSV-data-file-Aug26-ZIP-3M-vjgRdG.zip" TargetMode="External"/><Relationship Id="rId4" Type="http://schemas.openxmlformats.org/officeDocument/2006/relationships/hyperlink" Target="https://www.england.nhs.uk/statistics/wp-content/uploads/sites/2/2025/01/Monthly-AE-December-2024.csv" TargetMode="External"/><Relationship Id="rId9" Type="http://schemas.openxmlformats.org/officeDocument/2006/relationships/hyperlink" Target="https://www.england.nhs.uk/statistics/wp-content/uploads/sites/2/2025/11/May-2025-CSV-revised.csv" TargetMode="External"/><Relationship Id="rId13" Type="http://schemas.openxmlformats.org/officeDocument/2006/relationships/hyperlink" Target="https://www.england.nhs.uk/statistics/wp-content/uploads/sites/2/2025/11/September-2025-CSV-revised.csv" TargetMode="External"/><Relationship Id="rId18" Type="http://schemas.openxmlformats.org/officeDocument/2006/relationships/hyperlink" Target="https://www.england.nhs.uk/statistics/wp-content/uploads/sites/2/2026/03/February-2026-CSV-Dl8t54.csv" TargetMode="External"/><Relationship Id="rId39" Type="http://schemas.openxmlformats.org/officeDocument/2006/relationships/hyperlink" Target="https://www.england.nhs.uk/statistics/wp-content/uploads/sites/2/2026/09/DM01-OCTOBER-2025-full-extract_5WSGC.zip" TargetMode="External"/><Relationship Id="rId34" Type="http://schemas.openxmlformats.org/officeDocument/2006/relationships/hyperlink" Target="https://www.england.nhs.uk/statistics/wp-content/uploads/sites/2/2026/04/DM01-MAY-2025-full-extract_M0N7G.zip" TargetMode="External"/><Relationship Id="rId50" Type="http://schemas.openxmlformats.org/officeDocument/2006/relationships/hyperlink" Target="https://www.england.nhs.uk/statistics/wp-content/uploads/sites/2/2025/02/Full-CSV-data-file-Sep24-ZIP-4M-revised.zip" TargetMode="External"/><Relationship Id="rId55" Type="http://schemas.openxmlformats.org/officeDocument/2006/relationships/hyperlink" Target="https://www.england.nhs.uk/statistics/wp-content/uploads/sites/2/2025/07/Full-CSV-data-file-Feb25-ZIP-4M-revised.zip" TargetMode="External"/><Relationship Id="rId76" Type="http://schemas.openxmlformats.org/officeDocument/2006/relationships/table" Target="../tables/table9.xml"/><Relationship Id="rId7" Type="http://schemas.openxmlformats.org/officeDocument/2006/relationships/hyperlink" Target="https://www.england.nhs.uk/statistics/wp-content/uploads/sites/2/2025/04/Monthly-AE-March-2025.csv" TargetMode="External"/><Relationship Id="rId71" Type="http://schemas.openxmlformats.org/officeDocument/2006/relationships/hyperlink" Target="https://www.england.nhs.uk/statistics/wp-content/uploads/sites/2/2026/08/Full-CSV-data-file-Jun26-ZIP-3M-6jPlxd.zi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EAF7-AEEC-4E3E-83DD-CDE80FCE5D1D}">
  <sheetPr>
    <pageSetUpPr fitToPage="1"/>
  </sheetPr>
  <dimension ref="B2:N30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2" sqref="B2:N3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17.7109375" style="1" customWidth="1"/>
    <col min="4" max="5" width="23.7109375" style="1" customWidth="1"/>
    <col min="6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7" spans="2:14" x14ac:dyDescent="0.25">
      <c r="B7" s="20" t="s">
        <v>831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9" spans="2:14" x14ac:dyDescent="0.25">
      <c r="B9" s="15" t="s">
        <v>832</v>
      </c>
      <c r="C9" s="15" t="s">
        <v>740</v>
      </c>
      <c r="D9" s="15" t="s">
        <v>833</v>
      </c>
      <c r="E9" s="15" t="s">
        <v>834</v>
      </c>
    </row>
    <row r="10" spans="2:14" ht="38.1" customHeight="1" x14ac:dyDescent="0.4">
      <c r="B10" s="1" t="s">
        <v>835</v>
      </c>
      <c r="C10" s="1" t="s">
        <v>46</v>
      </c>
      <c r="D10" s="13">
        <f>SUMIFS(NationalData[RTT waiting],NationalData[Month],C10)</f>
        <v>7158164</v>
      </c>
      <c r="E10" s="14">
        <f>IFERROR(SUMIFS(NationalData[RTT within18],NationalData[Month],C10)/SUMIFS(NationalData[RTT waiting],NationalData[Month],C10),"")</f>
        <v>0.65206022102874428</v>
      </c>
    </row>
    <row r="11" spans="2:14" ht="38.1" customHeight="1" x14ac:dyDescent="0.4">
      <c r="B11" s="1" t="s">
        <v>836</v>
      </c>
      <c r="C11" s="1" t="s">
        <v>47</v>
      </c>
      <c r="D11" s="13">
        <f>SUMIFS(NationalData[AE attendances],NationalData[Month],C11)</f>
        <v>2444743</v>
      </c>
      <c r="E11" s="14">
        <f>IFERROR(SUMIFS(NationalData[AE within4],NationalData[Month],C11)/SUMIFS(NationalData[AE attendances],NationalData[Month],C11),"")</f>
        <v>0.7436331753480836</v>
      </c>
    </row>
    <row r="12" spans="2:14" ht="38.1" customHeight="1" x14ac:dyDescent="0.4">
      <c r="B12" s="1" t="s">
        <v>837</v>
      </c>
      <c r="C12" s="1" t="s">
        <v>46</v>
      </c>
      <c r="D12" s="13">
        <f>SUMIFS(NationalData[Diagnostic waiting],NationalData[Month],C12)</f>
        <v>1833070</v>
      </c>
      <c r="E12" s="14">
        <f>IFERROR(SUMIFS(NationalData[Diagnostic over6],NationalData[Month],C12)/SUMIFS(NationalData[Diagnostic waiting],NationalData[Month],C12),"")</f>
        <v>0.24674780559389439</v>
      </c>
    </row>
    <row r="14" spans="2:14" x14ac:dyDescent="0.25">
      <c r="B14" s="16" t="s">
        <v>838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4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8" spans="2:6" x14ac:dyDescent="0.25">
      <c r="B18" s="1" t="s">
        <v>839</v>
      </c>
      <c r="C18" s="1" t="s">
        <v>63</v>
      </c>
    </row>
    <row r="19" spans="2:6" x14ac:dyDescent="0.25">
      <c r="B19" s="1" t="s">
        <v>840</v>
      </c>
      <c r="C19" s="19" t="str">
        <f>_xlfn.XLOOKUP(C18,Providers[Provider code],Providers[Provider name],"Not in comparable cohort")</f>
        <v>MID AND SOUTH ESSEX NHS FOUNDATION TRUST</v>
      </c>
      <c r="D19" s="19"/>
      <c r="E19" s="19"/>
      <c r="F19" s="19"/>
    </row>
    <row r="21" spans="2:6" x14ac:dyDescent="0.25">
      <c r="B21" s="1" t="s">
        <v>841</v>
      </c>
      <c r="C21" s="1">
        <f>COUNTIFS(Providers[Review signal],"Review sustained deterioration")</f>
        <v>55</v>
      </c>
      <c r="D21" s="19" t="s">
        <v>842</v>
      </c>
      <c r="E21" s="19"/>
      <c r="F21" s="19"/>
    </row>
    <row r="23" spans="2:6" x14ac:dyDescent="0.25">
      <c r="B23" s="16" t="s">
        <v>843</v>
      </c>
      <c r="C23" s="16"/>
      <c r="D23" s="16"/>
      <c r="E23" s="16"/>
      <c r="F23" s="16"/>
    </row>
    <row r="24" spans="2:6" x14ac:dyDescent="0.25">
      <c r="B24" s="16"/>
      <c r="C24" s="16"/>
      <c r="D24" s="16"/>
      <c r="E24" s="16"/>
      <c r="F24" s="16"/>
    </row>
    <row r="25" spans="2:6" x14ac:dyDescent="0.25">
      <c r="B25" s="16"/>
      <c r="C25" s="16"/>
      <c r="D25" s="16"/>
      <c r="E25" s="16"/>
      <c r="F25" s="16"/>
    </row>
    <row r="28" spans="2:6" x14ac:dyDescent="0.25">
      <c r="B28" s="16" t="s">
        <v>844</v>
      </c>
      <c r="C28" s="16"/>
      <c r="D28" s="16"/>
      <c r="E28" s="16"/>
      <c r="F28" s="16"/>
    </row>
    <row r="29" spans="2:6" x14ac:dyDescent="0.25">
      <c r="B29" s="16"/>
      <c r="C29" s="16"/>
      <c r="D29" s="16"/>
      <c r="E29" s="16"/>
      <c r="F29" s="16"/>
    </row>
    <row r="30" spans="2:6" x14ac:dyDescent="0.25">
      <c r="B30" s="16"/>
      <c r="C30" s="16"/>
      <c r="D30" s="16"/>
      <c r="E30" s="16"/>
      <c r="F30" s="16"/>
    </row>
  </sheetData>
  <mergeCells count="8">
    <mergeCell ref="B23:F25"/>
    <mergeCell ref="B28:F30"/>
    <mergeCell ref="B2:N3"/>
    <mergeCell ref="B5:N5"/>
    <mergeCell ref="B7:N7"/>
    <mergeCell ref="B14:N15"/>
    <mergeCell ref="C19:F19"/>
    <mergeCell ref="D21:F21"/>
  </mergeCells>
  <pageMargins left="0.3" right="0.3" top="0.75" bottom="0.75" header="0.3" footer="0.3"/>
  <pageSetup paperSize="9" scale="66" orientation="landscape" r:id="rId1"/>
  <headerFooter>
    <oddFooter>&amp;CNHS England public aggregate data | Independent analysis |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C59A-7911-423F-A9EA-0CDFC5D937D8}">
  <sheetPr>
    <pageSetUpPr fitToPage="1"/>
  </sheetPr>
  <dimension ref="B2:N32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23.85546875" style="1" customWidth="1"/>
    <col min="4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12</v>
      </c>
      <c r="C8" s="2" t="s">
        <v>48</v>
      </c>
      <c r="D8" s="2" t="s">
        <v>49</v>
      </c>
      <c r="E8" s="2" t="s">
        <v>50</v>
      </c>
      <c r="F8" s="2" t="s">
        <v>51</v>
      </c>
    </row>
    <row r="9" spans="2:14" x14ac:dyDescent="0.25">
      <c r="B9" s="5" t="s">
        <v>23</v>
      </c>
      <c r="C9" s="3">
        <v>7571549</v>
      </c>
      <c r="D9" s="3">
        <v>4429902</v>
      </c>
      <c r="E9" s="3">
        <v>249024</v>
      </c>
      <c r="F9" s="6">
        <f t="shared" ref="F9:F32" si="0">IFERROR($D9/$C9,"")</f>
        <v>0.58507209026845097</v>
      </c>
    </row>
    <row r="10" spans="2:14" x14ac:dyDescent="0.25">
      <c r="B10" s="5" t="s">
        <v>24</v>
      </c>
      <c r="C10" s="3">
        <v>7541371</v>
      </c>
      <c r="D10" s="3">
        <v>4444500</v>
      </c>
      <c r="E10" s="3">
        <v>234914</v>
      </c>
      <c r="F10" s="6">
        <f t="shared" si="0"/>
        <v>0.58934907193930652</v>
      </c>
    </row>
    <row r="11" spans="2:14" x14ac:dyDescent="0.25">
      <c r="B11" s="5" t="s">
        <v>25</v>
      </c>
      <c r="C11" s="3">
        <v>7479867</v>
      </c>
      <c r="D11" s="3">
        <v>4424701</v>
      </c>
      <c r="E11" s="3">
        <v>221567</v>
      </c>
      <c r="F11" s="6">
        <f t="shared" si="0"/>
        <v>0.59154808501274159</v>
      </c>
    </row>
    <row r="12" spans="2:14" x14ac:dyDescent="0.25">
      <c r="B12" s="5" t="s">
        <v>26</v>
      </c>
      <c r="C12" s="3">
        <v>7463085</v>
      </c>
      <c r="D12" s="3">
        <v>4398544</v>
      </c>
      <c r="E12" s="3">
        <v>200402</v>
      </c>
      <c r="F12" s="6">
        <f t="shared" si="0"/>
        <v>0.58937342935260684</v>
      </c>
    </row>
    <row r="13" spans="2:14" x14ac:dyDescent="0.25">
      <c r="B13" s="5" t="s">
        <v>27</v>
      </c>
      <c r="C13" s="3">
        <v>7427669</v>
      </c>
      <c r="D13" s="3">
        <v>4371844</v>
      </c>
      <c r="E13" s="3">
        <v>198828</v>
      </c>
      <c r="F13" s="6">
        <f t="shared" si="0"/>
        <v>0.58858896377854208</v>
      </c>
    </row>
    <row r="14" spans="2:14" x14ac:dyDescent="0.25">
      <c r="B14" s="5" t="s">
        <v>28</v>
      </c>
      <c r="C14" s="3">
        <v>7401153</v>
      </c>
      <c r="D14" s="3">
        <v>4379951</v>
      </c>
      <c r="E14" s="3">
        <v>193525</v>
      </c>
      <c r="F14" s="6">
        <f t="shared" si="0"/>
        <v>0.59179306251336783</v>
      </c>
    </row>
    <row r="15" spans="2:14" x14ac:dyDescent="0.25">
      <c r="B15" s="5" t="s">
        <v>29</v>
      </c>
      <c r="C15" s="3">
        <v>7418598</v>
      </c>
      <c r="D15" s="3">
        <v>4434722</v>
      </c>
      <c r="E15" s="3">
        <v>180243</v>
      </c>
      <c r="F15" s="6">
        <f t="shared" si="0"/>
        <v>0.59778437920480387</v>
      </c>
    </row>
    <row r="16" spans="2:14" x14ac:dyDescent="0.25">
      <c r="B16" s="5" t="s">
        <v>30</v>
      </c>
      <c r="C16" s="3">
        <v>7389065</v>
      </c>
      <c r="D16" s="3">
        <v>4413682</v>
      </c>
      <c r="E16" s="3">
        <v>190023</v>
      </c>
      <c r="F16" s="6">
        <f t="shared" si="0"/>
        <v>0.59732618403004978</v>
      </c>
    </row>
    <row r="17" spans="2:6" x14ac:dyDescent="0.25">
      <c r="B17" s="5" t="s">
        <v>31</v>
      </c>
      <c r="C17" s="3">
        <v>7355950</v>
      </c>
      <c r="D17" s="3">
        <v>4482076</v>
      </c>
      <c r="E17" s="3">
        <v>196839</v>
      </c>
      <c r="F17" s="6">
        <f t="shared" si="0"/>
        <v>0.60931300511830555</v>
      </c>
    </row>
    <row r="18" spans="2:6" x14ac:dyDescent="0.25">
      <c r="B18" s="5" t="s">
        <v>32</v>
      </c>
      <c r="C18" s="3">
        <v>7367836</v>
      </c>
      <c r="D18" s="3">
        <v>4533070</v>
      </c>
      <c r="E18" s="3">
        <v>191755</v>
      </c>
      <c r="F18" s="6">
        <f t="shared" si="0"/>
        <v>0.61525120808877942</v>
      </c>
    </row>
    <row r="19" spans="2:6" x14ac:dyDescent="0.25">
      <c r="B19" s="5" t="s">
        <v>33</v>
      </c>
      <c r="C19" s="3">
        <v>7299023</v>
      </c>
      <c r="D19" s="3">
        <v>4468469</v>
      </c>
      <c r="E19" s="3">
        <v>189416</v>
      </c>
      <c r="F19" s="6">
        <f t="shared" si="0"/>
        <v>0.61220097539081597</v>
      </c>
    </row>
    <row r="20" spans="2:6" x14ac:dyDescent="0.25">
      <c r="B20" s="5" t="s">
        <v>34</v>
      </c>
      <c r="C20" s="3">
        <v>7312356</v>
      </c>
      <c r="D20" s="3">
        <v>4458454</v>
      </c>
      <c r="E20" s="3">
        <v>188702</v>
      </c>
      <c r="F20" s="6">
        <f t="shared" si="0"/>
        <v>0.6097151178088156</v>
      </c>
    </row>
    <row r="21" spans="2:6" x14ac:dyDescent="0.25">
      <c r="B21" s="5" t="s">
        <v>35</v>
      </c>
      <c r="C21" s="3">
        <v>7296893</v>
      </c>
      <c r="D21" s="3">
        <v>4505684</v>
      </c>
      <c r="E21" s="3">
        <v>178532</v>
      </c>
      <c r="F21" s="6">
        <f t="shared" si="0"/>
        <v>0.61747979585283763</v>
      </c>
    </row>
    <row r="22" spans="2:6" x14ac:dyDescent="0.25">
      <c r="B22" s="5" t="s">
        <v>36</v>
      </c>
      <c r="C22" s="3">
        <v>7304189</v>
      </c>
      <c r="D22" s="3">
        <v>4506981</v>
      </c>
      <c r="E22" s="3">
        <v>170759</v>
      </c>
      <c r="F22" s="6">
        <f t="shared" si="0"/>
        <v>0.61704057767398957</v>
      </c>
    </row>
    <row r="23" spans="2:6" x14ac:dyDescent="0.25">
      <c r="B23" s="5" t="s">
        <v>37</v>
      </c>
      <c r="C23" s="3">
        <v>7159010</v>
      </c>
      <c r="D23" s="3">
        <v>4412862</v>
      </c>
      <c r="E23" s="3">
        <v>154121</v>
      </c>
      <c r="F23" s="6">
        <f t="shared" si="0"/>
        <v>0.61640673780313204</v>
      </c>
    </row>
    <row r="24" spans="2:6" x14ac:dyDescent="0.25">
      <c r="B24" s="5" t="s">
        <v>38</v>
      </c>
      <c r="C24" s="3">
        <v>7199624</v>
      </c>
      <c r="D24" s="3">
        <v>4424207</v>
      </c>
      <c r="E24" s="3">
        <v>138711</v>
      </c>
      <c r="F24" s="6">
        <f t="shared" si="0"/>
        <v>0.61450528527600889</v>
      </c>
    </row>
    <row r="25" spans="2:6" x14ac:dyDescent="0.25">
      <c r="B25" s="5" t="s">
        <v>39</v>
      </c>
      <c r="C25" s="3">
        <v>7155958</v>
      </c>
      <c r="D25" s="3">
        <v>4395958</v>
      </c>
      <c r="E25" s="3">
        <v>133860</v>
      </c>
      <c r="F25" s="6">
        <f t="shared" si="0"/>
        <v>0.61430740649959092</v>
      </c>
    </row>
    <row r="26" spans="2:6" x14ac:dyDescent="0.25">
      <c r="B26" s="5" t="s">
        <v>40</v>
      </c>
      <c r="C26" s="3">
        <v>7124952</v>
      </c>
      <c r="D26" s="3">
        <v>4456261</v>
      </c>
      <c r="E26" s="3">
        <v>120871</v>
      </c>
      <c r="F26" s="6">
        <f t="shared" si="0"/>
        <v>0.62544435387073483</v>
      </c>
    </row>
    <row r="27" spans="2:6" x14ac:dyDescent="0.25">
      <c r="B27" s="5" t="s">
        <v>41</v>
      </c>
      <c r="C27" s="3">
        <v>7014835</v>
      </c>
      <c r="D27" s="3">
        <v>4580320</v>
      </c>
      <c r="E27" s="3">
        <v>92607</v>
      </c>
      <c r="F27" s="6">
        <f t="shared" si="0"/>
        <v>0.65294764595318355</v>
      </c>
    </row>
    <row r="28" spans="2:6" x14ac:dyDescent="0.25">
      <c r="B28" s="5" t="s">
        <v>42</v>
      </c>
      <c r="C28" s="3">
        <v>7093502</v>
      </c>
      <c r="D28" s="3">
        <v>4607182</v>
      </c>
      <c r="E28" s="3">
        <v>97388</v>
      </c>
      <c r="F28" s="6">
        <f t="shared" si="0"/>
        <v>0.64949329682292334</v>
      </c>
    </row>
    <row r="29" spans="2:6" x14ac:dyDescent="0.25">
      <c r="B29" s="5" t="s">
        <v>43</v>
      </c>
      <c r="C29" s="3">
        <v>7153655</v>
      </c>
      <c r="D29" s="3">
        <v>4689601</v>
      </c>
      <c r="E29" s="3">
        <v>102341</v>
      </c>
      <c r="F29" s="6">
        <f t="shared" si="0"/>
        <v>0.65555314031778156</v>
      </c>
    </row>
    <row r="30" spans="2:6" x14ac:dyDescent="0.25">
      <c r="B30" s="5" t="s">
        <v>44</v>
      </c>
      <c r="C30" s="3">
        <v>7147562</v>
      </c>
      <c r="D30" s="3">
        <v>4704942</v>
      </c>
      <c r="E30" s="3">
        <v>103318</v>
      </c>
      <c r="F30" s="6">
        <f t="shared" si="0"/>
        <v>0.65825829842399408</v>
      </c>
    </row>
    <row r="31" spans="2:6" x14ac:dyDescent="0.25">
      <c r="B31" s="5" t="s">
        <v>45</v>
      </c>
      <c r="C31" s="3">
        <v>7131685</v>
      </c>
      <c r="D31" s="3">
        <v>4657059</v>
      </c>
      <c r="E31" s="3">
        <v>108263</v>
      </c>
      <c r="F31" s="6">
        <f t="shared" si="0"/>
        <v>0.65300963236598364</v>
      </c>
    </row>
    <row r="32" spans="2:6" x14ac:dyDescent="0.25">
      <c r="B32" s="5" t="s">
        <v>46</v>
      </c>
      <c r="C32" s="3">
        <v>7158164</v>
      </c>
      <c r="D32" s="3">
        <v>4667554</v>
      </c>
      <c r="E32" s="3">
        <v>109936</v>
      </c>
      <c r="F32" s="6">
        <f t="shared" si="0"/>
        <v>0.65206022102874428</v>
      </c>
    </row>
  </sheetData>
  <mergeCells count="2">
    <mergeCell ref="B2:N3"/>
    <mergeCell ref="B5:N5"/>
  </mergeCells>
  <conditionalFormatting sqref="F9:F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" right="0.3" top="0.75" bottom="0.75" header="0.3" footer="0.3"/>
  <pageSetup paperSize="9" scale="69" orientation="landscape" r:id="rId1"/>
  <headerFooter>
    <oddFooter>&amp;CNHS England public aggregate data | Independent analysis |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F7C8-AFBE-4958-B366-2328115BC7F4}">
  <sheetPr>
    <pageSetUpPr fitToPage="1"/>
  </sheetPr>
  <dimension ref="B2:N3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4" width="17.7109375" style="1" customWidth="1"/>
    <col min="5" max="5" width="25.85546875" style="1" customWidth="1"/>
    <col min="6" max="6" width="17.7109375" style="1" customWidth="1"/>
    <col min="7" max="7" width="1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12</v>
      </c>
      <c r="C8" s="2" t="s">
        <v>52</v>
      </c>
      <c r="D8" s="2" t="s">
        <v>53</v>
      </c>
      <c r="E8" s="2" t="s">
        <v>18</v>
      </c>
      <c r="F8" s="2" t="s">
        <v>19</v>
      </c>
      <c r="G8" s="2" t="s">
        <v>54</v>
      </c>
    </row>
    <row r="9" spans="2:14" x14ac:dyDescent="0.25">
      <c r="B9" s="5" t="s">
        <v>23</v>
      </c>
      <c r="C9" s="3">
        <v>2214217</v>
      </c>
      <c r="D9" s="3">
        <v>1643329</v>
      </c>
      <c r="E9" s="3">
        <v>530824</v>
      </c>
      <c r="F9" s="3">
        <v>38880</v>
      </c>
      <c r="G9" s="6">
        <f t="shared" ref="G9:G33" si="0">IFERROR($D9/$C9,"")</f>
        <v>0.74217161190615011</v>
      </c>
    </row>
    <row r="10" spans="2:14" x14ac:dyDescent="0.25">
      <c r="B10" s="5" t="s">
        <v>24</v>
      </c>
      <c r="C10" s="3">
        <v>2360536</v>
      </c>
      <c r="D10" s="3">
        <v>1725194</v>
      </c>
      <c r="E10" s="3">
        <v>567448</v>
      </c>
      <c r="F10" s="3">
        <v>49616</v>
      </c>
      <c r="G10" s="6">
        <f t="shared" si="0"/>
        <v>0.73084841747806428</v>
      </c>
    </row>
    <row r="11" spans="2:14" x14ac:dyDescent="0.25">
      <c r="B11" s="5" t="s">
        <v>25</v>
      </c>
      <c r="C11" s="3">
        <v>2314998</v>
      </c>
      <c r="D11" s="3">
        <v>1671002</v>
      </c>
      <c r="E11" s="3">
        <v>552161</v>
      </c>
      <c r="F11" s="3">
        <v>45791</v>
      </c>
      <c r="G11" s="6">
        <f t="shared" si="0"/>
        <v>0.72181574238941026</v>
      </c>
    </row>
    <row r="12" spans="2:14" x14ac:dyDescent="0.25">
      <c r="B12" s="5" t="s">
        <v>26</v>
      </c>
      <c r="C12" s="3">
        <v>2345934</v>
      </c>
      <c r="D12" s="3">
        <v>1668461</v>
      </c>
      <c r="E12" s="3">
        <v>552592</v>
      </c>
      <c r="F12" s="3">
        <v>54207</v>
      </c>
      <c r="G12" s="6">
        <f t="shared" si="0"/>
        <v>0.71121395572083446</v>
      </c>
    </row>
    <row r="13" spans="2:14" x14ac:dyDescent="0.25">
      <c r="B13" s="5" t="s">
        <v>27</v>
      </c>
      <c r="C13" s="3">
        <v>2218130</v>
      </c>
      <c r="D13" s="3">
        <v>1619384</v>
      </c>
      <c r="E13" s="3">
        <v>548775</v>
      </c>
      <c r="F13" s="3">
        <v>61529</v>
      </c>
      <c r="G13" s="6">
        <f t="shared" si="0"/>
        <v>0.73006721878338965</v>
      </c>
    </row>
    <row r="14" spans="2:14" x14ac:dyDescent="0.25">
      <c r="B14" s="5" t="s">
        <v>28</v>
      </c>
      <c r="C14" s="3">
        <v>2088071</v>
      </c>
      <c r="D14" s="3">
        <v>1533925</v>
      </c>
      <c r="E14" s="3">
        <v>496095</v>
      </c>
      <c r="F14" s="3">
        <v>47623</v>
      </c>
      <c r="G14" s="6">
        <f t="shared" si="0"/>
        <v>0.73461343029044512</v>
      </c>
    </row>
    <row r="15" spans="2:14" x14ac:dyDescent="0.25">
      <c r="B15" s="5" t="s">
        <v>29</v>
      </c>
      <c r="C15" s="3">
        <v>2389064</v>
      </c>
      <c r="D15" s="3">
        <v>1791316</v>
      </c>
      <c r="E15" s="3">
        <v>551129</v>
      </c>
      <c r="F15" s="3">
        <v>46766</v>
      </c>
      <c r="G15" s="6">
        <f t="shared" si="0"/>
        <v>0.74979824734707823</v>
      </c>
    </row>
    <row r="16" spans="2:14" x14ac:dyDescent="0.25">
      <c r="B16" s="5" t="s">
        <v>30</v>
      </c>
      <c r="C16" s="3">
        <v>2297421</v>
      </c>
      <c r="D16" s="3">
        <v>1718099</v>
      </c>
      <c r="E16" s="3">
        <v>528230</v>
      </c>
      <c r="F16" s="3">
        <v>44648</v>
      </c>
      <c r="G16" s="6">
        <f t="shared" si="0"/>
        <v>0.74783811935209088</v>
      </c>
    </row>
    <row r="17" spans="2:7" x14ac:dyDescent="0.25">
      <c r="B17" s="5" t="s">
        <v>31</v>
      </c>
      <c r="C17" s="3">
        <v>2397529</v>
      </c>
      <c r="D17" s="3">
        <v>1807794</v>
      </c>
      <c r="E17" s="3">
        <v>545128</v>
      </c>
      <c r="F17" s="3">
        <v>42891</v>
      </c>
      <c r="G17" s="6">
        <f t="shared" si="0"/>
        <v>0.75402383036868381</v>
      </c>
    </row>
    <row r="18" spans="2:7" x14ac:dyDescent="0.25">
      <c r="B18" s="5" t="s">
        <v>32</v>
      </c>
      <c r="C18" s="3">
        <v>2351581</v>
      </c>
      <c r="D18" s="3">
        <v>1776772</v>
      </c>
      <c r="E18" s="3">
        <v>535941</v>
      </c>
      <c r="F18" s="3">
        <v>38683</v>
      </c>
      <c r="G18" s="6">
        <f t="shared" si="0"/>
        <v>0.7555648731640543</v>
      </c>
    </row>
    <row r="19" spans="2:7" x14ac:dyDescent="0.25">
      <c r="B19" s="5" t="s">
        <v>33</v>
      </c>
      <c r="C19" s="3">
        <v>2408866</v>
      </c>
      <c r="D19" s="3">
        <v>1840562</v>
      </c>
      <c r="E19" s="3">
        <v>559392</v>
      </c>
      <c r="F19" s="3">
        <v>35467</v>
      </c>
      <c r="G19" s="6">
        <f t="shared" si="0"/>
        <v>0.76407820111205849</v>
      </c>
    </row>
    <row r="20" spans="2:7" x14ac:dyDescent="0.25">
      <c r="B20" s="5" t="s">
        <v>34</v>
      </c>
      <c r="C20" s="3">
        <v>2266937</v>
      </c>
      <c r="D20" s="3">
        <v>1720066</v>
      </c>
      <c r="E20" s="3">
        <v>526399</v>
      </c>
      <c r="F20" s="3">
        <v>35909</v>
      </c>
      <c r="G20" s="6">
        <f t="shared" si="0"/>
        <v>0.75876215351375009</v>
      </c>
    </row>
    <row r="21" spans="2:7" x14ac:dyDescent="0.25">
      <c r="B21" s="5" t="s">
        <v>35</v>
      </c>
      <c r="C21" s="3">
        <v>2310222</v>
      </c>
      <c r="D21" s="3">
        <v>1733831</v>
      </c>
      <c r="E21" s="3">
        <v>535580</v>
      </c>
      <c r="F21" s="3">
        <v>44765</v>
      </c>
      <c r="G21" s="6">
        <f t="shared" si="0"/>
        <v>0.75050406411158754</v>
      </c>
    </row>
    <row r="22" spans="2:7" x14ac:dyDescent="0.25">
      <c r="B22" s="5" t="s">
        <v>36</v>
      </c>
      <c r="C22" s="3">
        <v>2401266</v>
      </c>
      <c r="D22" s="3">
        <v>1781392</v>
      </c>
      <c r="E22" s="3">
        <v>553499</v>
      </c>
      <c r="F22" s="3">
        <v>54326</v>
      </c>
      <c r="G22" s="6">
        <f t="shared" si="0"/>
        <v>0.74185533797588443</v>
      </c>
    </row>
    <row r="23" spans="2:7" x14ac:dyDescent="0.25">
      <c r="B23" s="5" t="s">
        <v>37</v>
      </c>
      <c r="C23" s="3">
        <v>2347046</v>
      </c>
      <c r="D23" s="3">
        <v>1741906</v>
      </c>
      <c r="E23" s="3">
        <v>531747</v>
      </c>
      <c r="F23" s="3">
        <v>50648</v>
      </c>
      <c r="G23" s="6">
        <f t="shared" si="0"/>
        <v>0.74216951862042757</v>
      </c>
    </row>
    <row r="24" spans="2:7" x14ac:dyDescent="0.25">
      <c r="B24" s="5" t="s">
        <v>38</v>
      </c>
      <c r="C24" s="3">
        <v>2326139</v>
      </c>
      <c r="D24" s="3">
        <v>1717664</v>
      </c>
      <c r="E24" s="3">
        <v>542188</v>
      </c>
      <c r="F24" s="3">
        <v>50789</v>
      </c>
      <c r="G24" s="6">
        <f t="shared" si="0"/>
        <v>0.73841846940359113</v>
      </c>
    </row>
    <row r="25" spans="2:7" x14ac:dyDescent="0.25">
      <c r="B25" s="5" t="s">
        <v>39</v>
      </c>
      <c r="C25" s="3">
        <v>2319296</v>
      </c>
      <c r="D25" s="3">
        <v>1680358</v>
      </c>
      <c r="E25" s="3">
        <v>546136</v>
      </c>
      <c r="F25" s="3">
        <v>71517</v>
      </c>
      <c r="G25" s="6">
        <f t="shared" si="0"/>
        <v>0.72451209332487099</v>
      </c>
    </row>
    <row r="26" spans="2:7" x14ac:dyDescent="0.25">
      <c r="B26" s="5" t="s">
        <v>40</v>
      </c>
      <c r="C26" s="3">
        <v>2117450</v>
      </c>
      <c r="D26" s="3">
        <v>1568084</v>
      </c>
      <c r="E26" s="3">
        <v>493015</v>
      </c>
      <c r="F26" s="3">
        <v>54649</v>
      </c>
      <c r="G26" s="6">
        <f t="shared" si="0"/>
        <v>0.74055302368414844</v>
      </c>
    </row>
    <row r="27" spans="2:7" x14ac:dyDescent="0.25">
      <c r="B27" s="5" t="s">
        <v>41</v>
      </c>
      <c r="C27" s="3">
        <v>2432272</v>
      </c>
      <c r="D27" s="3">
        <v>1875561</v>
      </c>
      <c r="E27" s="3">
        <v>553892</v>
      </c>
      <c r="F27" s="3">
        <v>46665</v>
      </c>
      <c r="G27" s="6">
        <f t="shared" si="0"/>
        <v>0.77111482597341086</v>
      </c>
    </row>
    <row r="28" spans="2:7" x14ac:dyDescent="0.25">
      <c r="B28" s="5" t="s">
        <v>42</v>
      </c>
      <c r="C28" s="3">
        <v>2345329</v>
      </c>
      <c r="D28" s="3">
        <v>1803787</v>
      </c>
      <c r="E28" s="3">
        <v>525660</v>
      </c>
      <c r="F28" s="3">
        <v>47750</v>
      </c>
      <c r="G28" s="6">
        <f t="shared" si="0"/>
        <v>0.76909764045897189</v>
      </c>
    </row>
    <row r="29" spans="2:7" x14ac:dyDescent="0.25">
      <c r="B29" s="5" t="s">
        <v>43</v>
      </c>
      <c r="C29" s="3">
        <v>2457398</v>
      </c>
      <c r="D29" s="3">
        <v>1860075</v>
      </c>
      <c r="E29" s="3">
        <v>533280</v>
      </c>
      <c r="F29" s="3">
        <v>50212</v>
      </c>
      <c r="G29" s="6">
        <f t="shared" si="0"/>
        <v>0.7569286700811183</v>
      </c>
    </row>
    <row r="30" spans="2:7" x14ac:dyDescent="0.25">
      <c r="B30" s="5" t="s">
        <v>44</v>
      </c>
      <c r="C30" s="3">
        <v>2437906</v>
      </c>
      <c r="D30" s="3">
        <v>1828989</v>
      </c>
      <c r="E30" s="3">
        <v>534753</v>
      </c>
      <c r="F30" s="3">
        <v>49466</v>
      </c>
      <c r="G30" s="6">
        <f t="shared" si="0"/>
        <v>0.75022950023503776</v>
      </c>
    </row>
    <row r="31" spans="2:7" x14ac:dyDescent="0.25">
      <c r="B31" s="5" t="s">
        <v>45</v>
      </c>
      <c r="C31" s="3">
        <v>2487580</v>
      </c>
      <c r="D31" s="3">
        <v>1875001</v>
      </c>
      <c r="E31" s="3">
        <v>547828</v>
      </c>
      <c r="F31" s="3">
        <v>47438</v>
      </c>
      <c r="G31" s="6">
        <f t="shared" si="0"/>
        <v>0.75374500518576282</v>
      </c>
    </row>
    <row r="32" spans="2:7" x14ac:dyDescent="0.25">
      <c r="B32" s="5" t="s">
        <v>46</v>
      </c>
      <c r="C32" s="3">
        <v>2342959</v>
      </c>
      <c r="D32" s="3">
        <v>1758192</v>
      </c>
      <c r="E32" s="3">
        <v>517868</v>
      </c>
      <c r="F32" s="3">
        <v>44951</v>
      </c>
      <c r="G32" s="6">
        <f t="shared" si="0"/>
        <v>0.75041518012052277</v>
      </c>
    </row>
    <row r="33" spans="2:7" x14ac:dyDescent="0.25">
      <c r="B33" s="5" t="s">
        <v>47</v>
      </c>
      <c r="C33" s="3">
        <v>2444743</v>
      </c>
      <c r="D33" s="3">
        <v>1817992</v>
      </c>
      <c r="E33" s="3">
        <v>536158</v>
      </c>
      <c r="F33" s="3">
        <v>50582</v>
      </c>
      <c r="G33" s="6">
        <f t="shared" si="0"/>
        <v>0.7436331753480836</v>
      </c>
    </row>
  </sheetData>
  <mergeCells count="2">
    <mergeCell ref="B2:N3"/>
    <mergeCell ref="B5:N5"/>
  </mergeCells>
  <conditionalFormatting sqref="G9:G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" right="0.3" top="0.75" bottom="0.75" header="0.3" footer="0.3"/>
  <pageSetup paperSize="9" scale="65" orientation="landscape" r:id="rId1"/>
  <headerFooter>
    <oddFooter>&amp;CNHS England public aggregate data | Independent analysis | &amp;P of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88B8-A08F-49BD-94E8-6BEACE831BA2}">
  <sheetPr>
    <pageSetUpPr fitToPage="1"/>
  </sheetPr>
  <dimension ref="B2:N32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17.7109375" style="1" customWidth="1"/>
    <col min="4" max="4" width="20.7109375" style="1" customWidth="1"/>
    <col min="5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12</v>
      </c>
      <c r="C8" s="2" t="s">
        <v>55</v>
      </c>
      <c r="D8" s="2" t="s">
        <v>56</v>
      </c>
      <c r="E8" s="2" t="s">
        <v>57</v>
      </c>
      <c r="F8" s="2" t="s">
        <v>58</v>
      </c>
    </row>
    <row r="9" spans="2:14" x14ac:dyDescent="0.25">
      <c r="B9" s="5" t="s">
        <v>23</v>
      </c>
      <c r="C9" s="3">
        <v>1592553</v>
      </c>
      <c r="D9" s="3">
        <v>361264</v>
      </c>
      <c r="E9" s="3">
        <v>2393472</v>
      </c>
      <c r="F9" s="6">
        <f t="shared" ref="F9:F32" si="0">IFERROR($D9/$C9,"")</f>
        <v>0.22684582553924423</v>
      </c>
    </row>
    <row r="10" spans="2:14" x14ac:dyDescent="0.25">
      <c r="B10" s="5" t="s">
        <v>24</v>
      </c>
      <c r="C10" s="3">
        <v>1636424</v>
      </c>
      <c r="D10" s="3">
        <v>338730</v>
      </c>
      <c r="E10" s="3">
        <v>2568267</v>
      </c>
      <c r="F10" s="6">
        <f t="shared" si="0"/>
        <v>0.20699403088686061</v>
      </c>
    </row>
    <row r="11" spans="2:14" x14ac:dyDescent="0.25">
      <c r="B11" s="5" t="s">
        <v>25</v>
      </c>
      <c r="C11" s="3">
        <v>1620824</v>
      </c>
      <c r="D11" s="3">
        <v>322929</v>
      </c>
      <c r="E11" s="3">
        <v>2465088</v>
      </c>
      <c r="F11" s="6">
        <f t="shared" si="0"/>
        <v>0.19923754830876148</v>
      </c>
    </row>
    <row r="12" spans="2:14" x14ac:dyDescent="0.25">
      <c r="B12" s="5" t="s">
        <v>26</v>
      </c>
      <c r="C12" s="3">
        <v>1568661</v>
      </c>
      <c r="D12" s="3">
        <v>357119</v>
      </c>
      <c r="E12" s="3">
        <v>2257697</v>
      </c>
      <c r="F12" s="6">
        <f t="shared" si="0"/>
        <v>0.22765849345397127</v>
      </c>
    </row>
    <row r="13" spans="2:14" x14ac:dyDescent="0.25">
      <c r="B13" s="5" t="s">
        <v>27</v>
      </c>
      <c r="C13" s="3">
        <v>1627995</v>
      </c>
      <c r="D13" s="3">
        <v>365178</v>
      </c>
      <c r="E13" s="3">
        <v>2539567</v>
      </c>
      <c r="F13" s="6">
        <f t="shared" si="0"/>
        <v>0.22431149972819328</v>
      </c>
    </row>
    <row r="14" spans="2:14" x14ac:dyDescent="0.25">
      <c r="B14" s="5" t="s">
        <v>28</v>
      </c>
      <c r="C14" s="3">
        <v>1674823</v>
      </c>
      <c r="D14" s="3">
        <v>292432</v>
      </c>
      <c r="E14" s="3">
        <v>2354255</v>
      </c>
      <c r="F14" s="6">
        <f t="shared" si="0"/>
        <v>0.17460471942408243</v>
      </c>
    </row>
    <row r="15" spans="2:14" x14ac:dyDescent="0.25">
      <c r="B15" s="5" t="s">
        <v>29</v>
      </c>
      <c r="C15" s="3">
        <v>1709380</v>
      </c>
      <c r="D15" s="3">
        <v>313990</v>
      </c>
      <c r="E15" s="3">
        <v>2526281</v>
      </c>
      <c r="F15" s="6">
        <f t="shared" si="0"/>
        <v>0.1836864828183318</v>
      </c>
    </row>
    <row r="16" spans="2:14" x14ac:dyDescent="0.25">
      <c r="B16" s="5" t="s">
        <v>30</v>
      </c>
      <c r="C16" s="3">
        <v>1703100</v>
      </c>
      <c r="D16" s="3">
        <v>361993</v>
      </c>
      <c r="E16" s="3">
        <v>2429486</v>
      </c>
      <c r="F16" s="6">
        <f t="shared" si="0"/>
        <v>0.21254946861605309</v>
      </c>
    </row>
    <row r="17" spans="2:6" x14ac:dyDescent="0.25">
      <c r="B17" s="5" t="s">
        <v>31</v>
      </c>
      <c r="C17" s="3">
        <v>1715934</v>
      </c>
      <c r="D17" s="3">
        <v>378352</v>
      </c>
      <c r="E17" s="3">
        <v>2500593</v>
      </c>
      <c r="F17" s="6">
        <f t="shared" si="0"/>
        <v>0.22049332899750224</v>
      </c>
    </row>
    <row r="18" spans="2:6" x14ac:dyDescent="0.25">
      <c r="B18" s="5" t="s">
        <v>32</v>
      </c>
      <c r="C18" s="3">
        <v>1739272</v>
      </c>
      <c r="D18" s="3">
        <v>370874</v>
      </c>
      <c r="E18" s="3">
        <v>2529788</v>
      </c>
      <c r="F18" s="6">
        <f t="shared" si="0"/>
        <v>0.21323519265531785</v>
      </c>
    </row>
    <row r="19" spans="2:6" x14ac:dyDescent="0.25">
      <c r="B19" s="5" t="s">
        <v>33</v>
      </c>
      <c r="C19" s="3">
        <v>1753665</v>
      </c>
      <c r="D19" s="3">
        <v>383518</v>
      </c>
      <c r="E19" s="3">
        <v>2662297</v>
      </c>
      <c r="F19" s="6">
        <f t="shared" si="0"/>
        <v>0.2186951327648097</v>
      </c>
    </row>
    <row r="20" spans="2:6" x14ac:dyDescent="0.25">
      <c r="B20" s="5" t="s">
        <v>34</v>
      </c>
      <c r="C20" s="3">
        <v>1683852</v>
      </c>
      <c r="D20" s="3">
        <v>404795</v>
      </c>
      <c r="E20" s="3">
        <v>2422424</v>
      </c>
      <c r="F20" s="6">
        <f t="shared" si="0"/>
        <v>0.2403982060181061</v>
      </c>
    </row>
    <row r="21" spans="2:6" x14ac:dyDescent="0.25">
      <c r="B21" s="5" t="s">
        <v>35</v>
      </c>
      <c r="C21" s="3">
        <v>1736880</v>
      </c>
      <c r="D21" s="3">
        <v>389018</v>
      </c>
      <c r="E21" s="3">
        <v>2565974</v>
      </c>
      <c r="F21" s="6">
        <f t="shared" si="0"/>
        <v>0.22397517387499424</v>
      </c>
    </row>
    <row r="22" spans="2:6" x14ac:dyDescent="0.25">
      <c r="B22" s="5" t="s">
        <v>36</v>
      </c>
      <c r="C22" s="3">
        <v>1794463</v>
      </c>
      <c r="D22" s="3">
        <v>381873</v>
      </c>
      <c r="E22" s="3">
        <v>2649560</v>
      </c>
      <c r="F22" s="6">
        <f t="shared" si="0"/>
        <v>0.21280628243658409</v>
      </c>
    </row>
    <row r="23" spans="2:6" x14ac:dyDescent="0.25">
      <c r="B23" s="5" t="s">
        <v>37</v>
      </c>
      <c r="C23" s="3">
        <v>1768507</v>
      </c>
      <c r="D23" s="3">
        <v>384218</v>
      </c>
      <c r="E23" s="3">
        <v>2478675</v>
      </c>
      <c r="F23" s="6">
        <f t="shared" si="0"/>
        <v>0.21725557207294063</v>
      </c>
    </row>
    <row r="24" spans="2:6" x14ac:dyDescent="0.25">
      <c r="B24" s="5" t="s">
        <v>38</v>
      </c>
      <c r="C24" s="3">
        <v>1749804</v>
      </c>
      <c r="D24" s="3">
        <v>433589</v>
      </c>
      <c r="E24" s="3">
        <v>2391927</v>
      </c>
      <c r="F24" s="6">
        <f t="shared" si="0"/>
        <v>0.24779289566145693</v>
      </c>
    </row>
    <row r="25" spans="2:6" x14ac:dyDescent="0.25">
      <c r="B25" s="5" t="s">
        <v>39</v>
      </c>
      <c r="C25" s="3">
        <v>1819211</v>
      </c>
      <c r="D25" s="3">
        <v>448807</v>
      </c>
      <c r="E25" s="3">
        <v>2554122</v>
      </c>
      <c r="F25" s="6">
        <f t="shared" si="0"/>
        <v>0.24670420308584326</v>
      </c>
    </row>
    <row r="26" spans="2:6" x14ac:dyDescent="0.25">
      <c r="B26" s="5" t="s">
        <v>40</v>
      </c>
      <c r="C26" s="3">
        <v>1869091</v>
      </c>
      <c r="D26" s="3">
        <v>378542</v>
      </c>
      <c r="E26" s="3">
        <v>2416088</v>
      </c>
      <c r="F26" s="6">
        <f t="shared" si="0"/>
        <v>0.20252732477979937</v>
      </c>
    </row>
    <row r="27" spans="2:6" x14ac:dyDescent="0.25">
      <c r="B27" s="5" t="s">
        <v>41</v>
      </c>
      <c r="C27" s="3">
        <v>1924199</v>
      </c>
      <c r="D27" s="3">
        <v>407739</v>
      </c>
      <c r="E27" s="3">
        <v>2647919</v>
      </c>
      <c r="F27" s="6">
        <f t="shared" si="0"/>
        <v>0.21190064021444768</v>
      </c>
    </row>
    <row r="28" spans="2:6" x14ac:dyDescent="0.25">
      <c r="B28" s="5" t="s">
        <v>42</v>
      </c>
      <c r="C28" s="3">
        <v>1951404</v>
      </c>
      <c r="D28" s="3">
        <v>485483</v>
      </c>
      <c r="E28" s="3">
        <v>2515356</v>
      </c>
      <c r="F28" s="6">
        <f t="shared" si="0"/>
        <v>0.2487865147350318</v>
      </c>
    </row>
    <row r="29" spans="2:6" x14ac:dyDescent="0.25">
      <c r="B29" s="5" t="s">
        <v>43</v>
      </c>
      <c r="C29" s="3">
        <v>1910025</v>
      </c>
      <c r="D29" s="3">
        <v>457295</v>
      </c>
      <c r="E29" s="3">
        <v>2528341</v>
      </c>
      <c r="F29" s="6">
        <f t="shared" si="0"/>
        <v>0.23941833222078246</v>
      </c>
    </row>
    <row r="30" spans="2:6" x14ac:dyDescent="0.25">
      <c r="B30" s="5" t="s">
        <v>44</v>
      </c>
      <c r="C30" s="3">
        <v>1930725</v>
      </c>
      <c r="D30" s="3">
        <v>449778</v>
      </c>
      <c r="E30" s="3">
        <v>2677285</v>
      </c>
      <c r="F30" s="6">
        <f t="shared" si="0"/>
        <v>0.23295808569319815</v>
      </c>
    </row>
    <row r="31" spans="2:6" x14ac:dyDescent="0.25">
      <c r="B31" s="5" t="s">
        <v>45</v>
      </c>
      <c r="C31" s="3">
        <v>1921259</v>
      </c>
      <c r="D31" s="3">
        <v>444437</v>
      </c>
      <c r="E31" s="3">
        <v>2733371</v>
      </c>
      <c r="F31" s="6">
        <f t="shared" si="0"/>
        <v>0.23132591701587343</v>
      </c>
    </row>
    <row r="32" spans="2:6" x14ac:dyDescent="0.25">
      <c r="B32" s="5" t="s">
        <v>46</v>
      </c>
      <c r="C32" s="3">
        <v>1833070</v>
      </c>
      <c r="D32" s="3">
        <v>452306</v>
      </c>
      <c r="E32" s="3">
        <v>2516963</v>
      </c>
      <c r="F32" s="6">
        <f t="shared" si="0"/>
        <v>0.24674780559389439</v>
      </c>
    </row>
  </sheetData>
  <mergeCells count="2">
    <mergeCell ref="B2:N3"/>
    <mergeCell ref="B5:N5"/>
  </mergeCells>
  <conditionalFormatting sqref="F9:F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" right="0.3" top="0.75" bottom="0.75" header="0.3" footer="0.3"/>
  <pageSetup paperSize="9" scale="70" orientation="landscape" r:id="rId1"/>
  <headerFooter>
    <oddFooter>&amp;CNHS England public aggregate data | Independent analysis | &amp;P of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260B-86E5-4303-862B-514043A6804A}">
  <sheetPr>
    <pageSetUpPr fitToPage="1"/>
  </sheetPr>
  <dimension ref="B2:N278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40.7109375" style="1" customWidth="1"/>
    <col min="4" max="6" width="17.7109375" style="1" customWidth="1"/>
    <col min="7" max="7" width="30.7109375" style="1" customWidth="1"/>
    <col min="8" max="8" width="16.140625" style="1" customWidth="1"/>
    <col min="9" max="9" width="13.7109375" style="1" customWidth="1"/>
    <col min="10" max="10" width="28.5703125" style="1" bestFit="1" customWidth="1"/>
    <col min="11" max="11" width="18" style="1" bestFit="1" customWidth="1"/>
    <col min="12" max="12" width="15.7109375" style="1" bestFit="1" customWidth="1"/>
    <col min="13" max="14" width="13.7109375" style="1" customWidth="1"/>
    <col min="15" max="16384" width="9.140625" style="1"/>
  </cols>
  <sheetData>
    <row r="2" spans="2:14" x14ac:dyDescent="0.25">
      <c r="B2" s="17" t="s">
        <v>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59</v>
      </c>
      <c r="C8" s="2" t="s">
        <v>60</v>
      </c>
      <c r="D8" s="2" t="s">
        <v>61</v>
      </c>
      <c r="E8" s="2" t="s">
        <v>49</v>
      </c>
      <c r="F8" s="2" t="s">
        <v>50</v>
      </c>
      <c r="G8" s="2" t="s">
        <v>62</v>
      </c>
      <c r="H8" s="2" t="s">
        <v>51</v>
      </c>
      <c r="J8" s="7" t="s">
        <v>606</v>
      </c>
      <c r="K8" t="s">
        <v>608</v>
      </c>
      <c r="L8" t="s">
        <v>609</v>
      </c>
    </row>
    <row r="9" spans="2:14" x14ac:dyDescent="0.25">
      <c r="B9" s="5" t="s">
        <v>63</v>
      </c>
      <c r="C9" s="3" t="s">
        <v>64</v>
      </c>
      <c r="D9" s="3">
        <v>165234</v>
      </c>
      <c r="E9" s="3">
        <v>83209</v>
      </c>
      <c r="F9" s="3">
        <v>13426</v>
      </c>
      <c r="G9" s="3" t="s">
        <v>65</v>
      </c>
      <c r="H9" s="6">
        <f t="shared" ref="H9:H72" si="0">IFERROR($E9/$D9,"")</f>
        <v>0.50358279772928094</v>
      </c>
      <c r="J9" s="8" t="s">
        <v>139</v>
      </c>
      <c r="K9" s="9">
        <v>3581937</v>
      </c>
      <c r="L9" s="9">
        <v>30224</v>
      </c>
    </row>
    <row r="10" spans="2:14" x14ac:dyDescent="0.25">
      <c r="B10" s="5" t="s">
        <v>66</v>
      </c>
      <c r="C10" s="3" t="s">
        <v>67</v>
      </c>
      <c r="D10" s="3">
        <v>118139</v>
      </c>
      <c r="E10" s="3">
        <v>62176</v>
      </c>
      <c r="F10" s="3">
        <v>5634</v>
      </c>
      <c r="G10" s="3" t="s">
        <v>68</v>
      </c>
      <c r="H10" s="6">
        <f t="shared" si="0"/>
        <v>0.52629529621886084</v>
      </c>
      <c r="J10" s="8" t="s">
        <v>65</v>
      </c>
      <c r="K10" s="9">
        <v>1920814</v>
      </c>
      <c r="L10" s="9">
        <v>48784</v>
      </c>
    </row>
    <row r="11" spans="2:14" x14ac:dyDescent="0.25">
      <c r="B11" s="5" t="s">
        <v>69</v>
      </c>
      <c r="C11" s="3" t="s">
        <v>70</v>
      </c>
      <c r="D11" s="3">
        <v>136819</v>
      </c>
      <c r="E11" s="3">
        <v>76293</v>
      </c>
      <c r="F11" s="3">
        <v>3928</v>
      </c>
      <c r="G11" s="3" t="s">
        <v>68</v>
      </c>
      <c r="H11" s="6">
        <f t="shared" si="0"/>
        <v>0.55761992120977355</v>
      </c>
      <c r="J11" s="8" t="s">
        <v>68</v>
      </c>
      <c r="K11" s="9">
        <v>1552489</v>
      </c>
      <c r="L11" s="9">
        <v>30273</v>
      </c>
    </row>
    <row r="12" spans="2:14" x14ac:dyDescent="0.25">
      <c r="B12" s="5" t="s">
        <v>71</v>
      </c>
      <c r="C12" s="3" t="s">
        <v>72</v>
      </c>
      <c r="D12" s="3">
        <v>86732</v>
      </c>
      <c r="E12" s="3">
        <v>48083</v>
      </c>
      <c r="F12" s="3">
        <v>3500</v>
      </c>
      <c r="G12" s="3" t="s">
        <v>68</v>
      </c>
      <c r="H12" s="6">
        <f t="shared" si="0"/>
        <v>0.55438592445694779</v>
      </c>
      <c r="J12" s="8" t="s">
        <v>607</v>
      </c>
      <c r="K12" s="9">
        <v>7055240</v>
      </c>
      <c r="L12" s="9">
        <v>109281</v>
      </c>
    </row>
    <row r="13" spans="2:14" x14ac:dyDescent="0.25">
      <c r="B13" s="5" t="s">
        <v>73</v>
      </c>
      <c r="C13" s="3" t="s">
        <v>74</v>
      </c>
      <c r="D13" s="3">
        <v>85362</v>
      </c>
      <c r="E13" s="3">
        <v>47313</v>
      </c>
      <c r="F13" s="3">
        <v>2623</v>
      </c>
      <c r="G13" s="3" t="s">
        <v>65</v>
      </c>
      <c r="H13" s="6">
        <f t="shared" si="0"/>
        <v>0.55426302101637726</v>
      </c>
      <c r="J13"/>
      <c r="K13"/>
      <c r="L13"/>
    </row>
    <row r="14" spans="2:14" x14ac:dyDescent="0.25">
      <c r="B14" s="5" t="s">
        <v>75</v>
      </c>
      <c r="C14" s="3" t="s">
        <v>76</v>
      </c>
      <c r="D14" s="3">
        <v>114859</v>
      </c>
      <c r="E14" s="3">
        <v>69201</v>
      </c>
      <c r="F14" s="3">
        <v>2454</v>
      </c>
      <c r="G14" s="3" t="s">
        <v>65</v>
      </c>
      <c r="H14" s="6">
        <f t="shared" si="0"/>
        <v>0.60248652695914118</v>
      </c>
      <c r="J14"/>
      <c r="K14"/>
      <c r="L14"/>
    </row>
    <row r="15" spans="2:14" x14ac:dyDescent="0.25">
      <c r="B15" s="5" t="s">
        <v>77</v>
      </c>
      <c r="C15" s="3" t="s">
        <v>78</v>
      </c>
      <c r="D15" s="3">
        <v>86339</v>
      </c>
      <c r="E15" s="3">
        <v>53655</v>
      </c>
      <c r="F15" s="3">
        <v>2404</v>
      </c>
      <c r="G15" s="3" t="s">
        <v>65</v>
      </c>
      <c r="H15" s="6">
        <f t="shared" si="0"/>
        <v>0.62144569661450788</v>
      </c>
      <c r="J15"/>
      <c r="K15"/>
      <c r="L15"/>
    </row>
    <row r="16" spans="2:14" x14ac:dyDescent="0.25">
      <c r="B16" s="5" t="s">
        <v>79</v>
      </c>
      <c r="C16" s="3" t="s">
        <v>80</v>
      </c>
      <c r="D16" s="3">
        <v>100816</v>
      </c>
      <c r="E16" s="3">
        <v>61257</v>
      </c>
      <c r="F16" s="3">
        <v>2176</v>
      </c>
      <c r="G16" s="3" t="s">
        <v>65</v>
      </c>
      <c r="H16" s="6">
        <f t="shared" si="0"/>
        <v>0.60761188700206314</v>
      </c>
      <c r="J16"/>
      <c r="K16"/>
      <c r="L16"/>
    </row>
    <row r="17" spans="2:12" x14ac:dyDescent="0.25">
      <c r="B17" s="5" t="s">
        <v>81</v>
      </c>
      <c r="C17" s="3" t="s">
        <v>82</v>
      </c>
      <c r="D17" s="3">
        <v>66585</v>
      </c>
      <c r="E17" s="3">
        <v>39135</v>
      </c>
      <c r="F17" s="3">
        <v>2173</v>
      </c>
      <c r="G17" s="3" t="s">
        <v>65</v>
      </c>
      <c r="H17" s="6">
        <f t="shared" si="0"/>
        <v>0.58774498760982208</v>
      </c>
      <c r="J17"/>
      <c r="K17"/>
      <c r="L17"/>
    </row>
    <row r="18" spans="2:12" x14ac:dyDescent="0.25">
      <c r="B18" s="5" t="s">
        <v>83</v>
      </c>
      <c r="C18" s="3" t="s">
        <v>84</v>
      </c>
      <c r="D18" s="3">
        <v>91060</v>
      </c>
      <c r="E18" s="3">
        <v>60305</v>
      </c>
      <c r="F18" s="3">
        <v>2004</v>
      </c>
      <c r="G18" s="3" t="s">
        <v>65</v>
      </c>
      <c r="H18" s="6">
        <f t="shared" si="0"/>
        <v>0.66225565561168465</v>
      </c>
      <c r="J18"/>
      <c r="K18"/>
      <c r="L18"/>
    </row>
    <row r="19" spans="2:12" x14ac:dyDescent="0.25">
      <c r="B19" s="5" t="s">
        <v>85</v>
      </c>
      <c r="C19" s="3" t="s">
        <v>86</v>
      </c>
      <c r="D19" s="3">
        <v>57574</v>
      </c>
      <c r="E19" s="3">
        <v>34910</v>
      </c>
      <c r="F19" s="3">
        <v>1863</v>
      </c>
      <c r="G19" s="3" t="s">
        <v>65</v>
      </c>
      <c r="H19" s="6">
        <f t="shared" si="0"/>
        <v>0.6063500885816514</v>
      </c>
      <c r="J19"/>
      <c r="K19"/>
      <c r="L19"/>
    </row>
    <row r="20" spans="2:12" x14ac:dyDescent="0.25">
      <c r="B20" s="5" t="s">
        <v>87</v>
      </c>
      <c r="C20" s="3" t="s">
        <v>88</v>
      </c>
      <c r="D20" s="3">
        <v>66055</v>
      </c>
      <c r="E20" s="3">
        <v>41962</v>
      </c>
      <c r="F20" s="3">
        <v>1802</v>
      </c>
      <c r="G20" s="3" t="s">
        <v>65</v>
      </c>
      <c r="H20" s="6">
        <f t="shared" si="0"/>
        <v>0.6352584967072894</v>
      </c>
      <c r="J20"/>
      <c r="K20"/>
      <c r="L20"/>
    </row>
    <row r="21" spans="2:12" x14ac:dyDescent="0.25">
      <c r="B21" s="5" t="s">
        <v>89</v>
      </c>
      <c r="C21" s="3" t="s">
        <v>90</v>
      </c>
      <c r="D21" s="3">
        <v>83764</v>
      </c>
      <c r="E21" s="3">
        <v>54482</v>
      </c>
      <c r="F21" s="3">
        <v>1752</v>
      </c>
      <c r="G21" s="3" t="s">
        <v>68</v>
      </c>
      <c r="H21" s="6">
        <f t="shared" si="0"/>
        <v>0.65042261592092065</v>
      </c>
      <c r="J21"/>
      <c r="K21"/>
      <c r="L21"/>
    </row>
    <row r="22" spans="2:12" x14ac:dyDescent="0.25">
      <c r="B22" s="5" t="s">
        <v>91</v>
      </c>
      <c r="C22" s="3" t="s">
        <v>92</v>
      </c>
      <c r="D22" s="3">
        <v>75383</v>
      </c>
      <c r="E22" s="3">
        <v>45220</v>
      </c>
      <c r="F22" s="3">
        <v>1735</v>
      </c>
      <c r="G22" s="3" t="s">
        <v>68</v>
      </c>
      <c r="H22" s="6">
        <f t="shared" si="0"/>
        <v>0.59986999721422607</v>
      </c>
      <c r="J22"/>
      <c r="K22"/>
      <c r="L22"/>
    </row>
    <row r="23" spans="2:12" x14ac:dyDescent="0.25">
      <c r="B23" s="5" t="s">
        <v>93</v>
      </c>
      <c r="C23" s="3" t="s">
        <v>94</v>
      </c>
      <c r="D23" s="3">
        <v>55374</v>
      </c>
      <c r="E23" s="3">
        <v>35493</v>
      </c>
      <c r="F23" s="3">
        <v>1702</v>
      </c>
      <c r="G23" s="3" t="s">
        <v>68</v>
      </c>
      <c r="H23" s="6">
        <f t="shared" si="0"/>
        <v>0.6409686856647524</v>
      </c>
      <c r="J23"/>
      <c r="K23"/>
      <c r="L23"/>
    </row>
    <row r="24" spans="2:12" x14ac:dyDescent="0.25">
      <c r="B24" s="5" t="s">
        <v>95</v>
      </c>
      <c r="C24" s="3" t="s">
        <v>96</v>
      </c>
      <c r="D24" s="3">
        <v>74495</v>
      </c>
      <c r="E24" s="3">
        <v>46755</v>
      </c>
      <c r="F24" s="3">
        <v>1684</v>
      </c>
      <c r="G24" s="3" t="s">
        <v>65</v>
      </c>
      <c r="H24" s="6">
        <f t="shared" si="0"/>
        <v>0.62762601516880323</v>
      </c>
      <c r="J24"/>
      <c r="K24"/>
      <c r="L24"/>
    </row>
    <row r="25" spans="2:12" x14ac:dyDescent="0.25">
      <c r="B25" s="5" t="s">
        <v>97</v>
      </c>
      <c r="C25" s="3" t="s">
        <v>98</v>
      </c>
      <c r="D25" s="3">
        <v>43136</v>
      </c>
      <c r="E25" s="3">
        <v>25264</v>
      </c>
      <c r="F25" s="3">
        <v>1584</v>
      </c>
      <c r="G25" s="3" t="s">
        <v>68</v>
      </c>
      <c r="H25" s="6">
        <f t="shared" si="0"/>
        <v>0.58568249258160232</v>
      </c>
      <c r="J25"/>
      <c r="K25"/>
      <c r="L25"/>
    </row>
    <row r="26" spans="2:12" x14ac:dyDescent="0.25">
      <c r="B26" s="5" t="s">
        <v>99</v>
      </c>
      <c r="C26" s="3" t="s">
        <v>100</v>
      </c>
      <c r="D26" s="3">
        <v>55381</v>
      </c>
      <c r="E26" s="3">
        <v>35171</v>
      </c>
      <c r="F26" s="3">
        <v>1553</v>
      </c>
      <c r="G26" s="3" t="s">
        <v>65</v>
      </c>
      <c r="H26" s="6">
        <f t="shared" si="0"/>
        <v>0.63507340062476303</v>
      </c>
    </row>
    <row r="27" spans="2:12" x14ac:dyDescent="0.25">
      <c r="B27" s="5" t="s">
        <v>101</v>
      </c>
      <c r="C27" s="3" t="s">
        <v>102</v>
      </c>
      <c r="D27" s="3">
        <v>64765</v>
      </c>
      <c r="E27" s="3">
        <v>41436</v>
      </c>
      <c r="F27" s="3">
        <v>1542</v>
      </c>
      <c r="G27" s="3" t="s">
        <v>68</v>
      </c>
      <c r="H27" s="6">
        <f t="shared" si="0"/>
        <v>0.639790010036285</v>
      </c>
    </row>
    <row r="28" spans="2:12" x14ac:dyDescent="0.25">
      <c r="B28" s="5" t="s">
        <v>103</v>
      </c>
      <c r="C28" s="3" t="s">
        <v>104</v>
      </c>
      <c r="D28" s="3">
        <v>89879</v>
      </c>
      <c r="E28" s="3">
        <v>55907</v>
      </c>
      <c r="F28" s="3">
        <v>1516</v>
      </c>
      <c r="G28" s="3" t="s">
        <v>65</v>
      </c>
      <c r="H28" s="6">
        <f t="shared" si="0"/>
        <v>0.62202516716919409</v>
      </c>
    </row>
    <row r="29" spans="2:12" x14ac:dyDescent="0.25">
      <c r="B29" s="5" t="s">
        <v>105</v>
      </c>
      <c r="C29" s="3" t="s">
        <v>106</v>
      </c>
      <c r="D29" s="3">
        <v>89297</v>
      </c>
      <c r="E29" s="3">
        <v>60269</v>
      </c>
      <c r="F29" s="3">
        <v>1484</v>
      </c>
      <c r="G29" s="3" t="s">
        <v>65</v>
      </c>
      <c r="H29" s="6">
        <f t="shared" si="0"/>
        <v>0.67492748916536949</v>
      </c>
    </row>
    <row r="30" spans="2:12" x14ac:dyDescent="0.25">
      <c r="B30" s="5" t="s">
        <v>107</v>
      </c>
      <c r="C30" s="3" t="s">
        <v>108</v>
      </c>
      <c r="D30" s="3">
        <v>54387</v>
      </c>
      <c r="E30" s="3">
        <v>34911</v>
      </c>
      <c r="F30" s="3">
        <v>1410</v>
      </c>
      <c r="G30" s="3" t="s">
        <v>68</v>
      </c>
      <c r="H30" s="6">
        <f t="shared" si="0"/>
        <v>0.64189971868277351</v>
      </c>
    </row>
    <row r="31" spans="2:12" x14ac:dyDescent="0.25">
      <c r="B31" s="5" t="s">
        <v>109</v>
      </c>
      <c r="C31" s="3" t="s">
        <v>110</v>
      </c>
      <c r="D31" s="3">
        <v>137873</v>
      </c>
      <c r="E31" s="3">
        <v>86423</v>
      </c>
      <c r="F31" s="3">
        <v>1334</v>
      </c>
      <c r="G31" s="3" t="s">
        <v>68</v>
      </c>
      <c r="H31" s="6">
        <f t="shared" si="0"/>
        <v>0.62683048892821658</v>
      </c>
    </row>
    <row r="32" spans="2:12" x14ac:dyDescent="0.25">
      <c r="B32" s="5" t="s">
        <v>111</v>
      </c>
      <c r="C32" s="3" t="s">
        <v>112</v>
      </c>
      <c r="D32" s="3">
        <v>167070</v>
      </c>
      <c r="E32" s="3">
        <v>106784</v>
      </c>
      <c r="F32" s="3">
        <v>1332</v>
      </c>
      <c r="G32" s="3" t="s">
        <v>65</v>
      </c>
      <c r="H32" s="6">
        <f t="shared" si="0"/>
        <v>0.63915723948045733</v>
      </c>
    </row>
    <row r="33" spans="2:8" x14ac:dyDescent="0.25">
      <c r="B33" s="5" t="s">
        <v>113</v>
      </c>
      <c r="C33" s="3" t="s">
        <v>114</v>
      </c>
      <c r="D33" s="3">
        <v>51577</v>
      </c>
      <c r="E33" s="3">
        <v>33023</v>
      </c>
      <c r="F33" s="3">
        <v>1304</v>
      </c>
      <c r="G33" s="3" t="s">
        <v>68</v>
      </c>
      <c r="H33" s="6">
        <f t="shared" si="0"/>
        <v>0.64026601004323636</v>
      </c>
    </row>
    <row r="34" spans="2:8" x14ac:dyDescent="0.25">
      <c r="B34" s="5" t="s">
        <v>115</v>
      </c>
      <c r="C34" s="3" t="s">
        <v>116</v>
      </c>
      <c r="D34" s="3">
        <v>57604</v>
      </c>
      <c r="E34" s="3">
        <v>33735</v>
      </c>
      <c r="F34" s="3">
        <v>1257</v>
      </c>
      <c r="G34" s="3" t="s">
        <v>65</v>
      </c>
      <c r="H34" s="6">
        <f t="shared" si="0"/>
        <v>0.58563641413790712</v>
      </c>
    </row>
    <row r="35" spans="2:8" x14ac:dyDescent="0.25">
      <c r="B35" s="5" t="s">
        <v>117</v>
      </c>
      <c r="C35" s="3" t="s">
        <v>118</v>
      </c>
      <c r="D35" s="3">
        <v>65757</v>
      </c>
      <c r="E35" s="3">
        <v>44875</v>
      </c>
      <c r="F35" s="3">
        <v>1257</v>
      </c>
      <c r="G35" s="3" t="s">
        <v>65</v>
      </c>
      <c r="H35" s="6">
        <f t="shared" si="0"/>
        <v>0.68243685082956951</v>
      </c>
    </row>
    <row r="36" spans="2:8" x14ac:dyDescent="0.25">
      <c r="B36" s="5" t="s">
        <v>119</v>
      </c>
      <c r="C36" s="3" t="s">
        <v>120</v>
      </c>
      <c r="D36" s="3">
        <v>86990</v>
      </c>
      <c r="E36" s="3">
        <v>51927</v>
      </c>
      <c r="F36" s="3">
        <v>1215</v>
      </c>
      <c r="G36" s="3" t="s">
        <v>65</v>
      </c>
      <c r="H36" s="6">
        <f t="shared" si="0"/>
        <v>0.59693068168755026</v>
      </c>
    </row>
    <row r="37" spans="2:8" x14ac:dyDescent="0.25">
      <c r="B37" s="5" t="s">
        <v>121</v>
      </c>
      <c r="C37" s="3" t="s">
        <v>122</v>
      </c>
      <c r="D37" s="3">
        <v>49602</v>
      </c>
      <c r="E37" s="3">
        <v>31476</v>
      </c>
      <c r="F37" s="3">
        <v>1188</v>
      </c>
      <c r="G37" s="3" t="s">
        <v>65</v>
      </c>
      <c r="H37" s="6">
        <f t="shared" si="0"/>
        <v>0.63457118664569978</v>
      </c>
    </row>
    <row r="38" spans="2:8" x14ac:dyDescent="0.25">
      <c r="B38" s="5" t="s">
        <v>123</v>
      </c>
      <c r="C38" s="3" t="s">
        <v>124</v>
      </c>
      <c r="D38" s="3">
        <v>41103</v>
      </c>
      <c r="E38" s="3">
        <v>24098</v>
      </c>
      <c r="F38" s="3">
        <v>1109</v>
      </c>
      <c r="G38" s="3" t="s">
        <v>65</v>
      </c>
      <c r="H38" s="6">
        <f t="shared" si="0"/>
        <v>0.58628323966620444</v>
      </c>
    </row>
    <row r="39" spans="2:8" x14ac:dyDescent="0.25">
      <c r="B39" s="5" t="s">
        <v>125</v>
      </c>
      <c r="C39" s="3" t="s">
        <v>126</v>
      </c>
      <c r="D39" s="3">
        <v>46291</v>
      </c>
      <c r="E39" s="3">
        <v>28003</v>
      </c>
      <c r="F39" s="3">
        <v>1106</v>
      </c>
      <c r="G39" s="3" t="s">
        <v>65</v>
      </c>
      <c r="H39" s="6">
        <f t="shared" si="0"/>
        <v>0.60493400445010914</v>
      </c>
    </row>
    <row r="40" spans="2:8" x14ac:dyDescent="0.25">
      <c r="B40" s="5" t="s">
        <v>127</v>
      </c>
      <c r="C40" s="3" t="s">
        <v>128</v>
      </c>
      <c r="D40" s="3">
        <v>69984</v>
      </c>
      <c r="E40" s="3">
        <v>44090</v>
      </c>
      <c r="F40" s="3">
        <v>1088</v>
      </c>
      <c r="G40" s="3" t="s">
        <v>65</v>
      </c>
      <c r="H40" s="6">
        <f t="shared" si="0"/>
        <v>0.63000114311842703</v>
      </c>
    </row>
    <row r="41" spans="2:8" x14ac:dyDescent="0.25">
      <c r="B41" s="5" t="s">
        <v>129</v>
      </c>
      <c r="C41" s="3" t="s">
        <v>130</v>
      </c>
      <c r="D41" s="3">
        <v>66684</v>
      </c>
      <c r="E41" s="3">
        <v>40771</v>
      </c>
      <c r="F41" s="3">
        <v>1078</v>
      </c>
      <c r="G41" s="3" t="s">
        <v>68</v>
      </c>
      <c r="H41" s="6">
        <f t="shared" si="0"/>
        <v>0.61140603443104791</v>
      </c>
    </row>
    <row r="42" spans="2:8" x14ac:dyDescent="0.25">
      <c r="B42" s="5" t="s">
        <v>131</v>
      </c>
      <c r="C42" s="3" t="s">
        <v>132</v>
      </c>
      <c r="D42" s="3">
        <v>71030</v>
      </c>
      <c r="E42" s="3">
        <v>45388</v>
      </c>
      <c r="F42" s="3">
        <v>1058</v>
      </c>
      <c r="G42" s="3" t="s">
        <v>65</v>
      </c>
      <c r="H42" s="6">
        <f t="shared" si="0"/>
        <v>0.63899760664507954</v>
      </c>
    </row>
    <row r="43" spans="2:8" x14ac:dyDescent="0.25">
      <c r="B43" s="5" t="s">
        <v>133</v>
      </c>
      <c r="C43" s="3" t="s">
        <v>134</v>
      </c>
      <c r="D43" s="3">
        <v>54829</v>
      </c>
      <c r="E43" s="3">
        <v>33562</v>
      </c>
      <c r="F43" s="3">
        <v>1028</v>
      </c>
      <c r="G43" s="3" t="s">
        <v>68</v>
      </c>
      <c r="H43" s="6">
        <f t="shared" si="0"/>
        <v>0.61212132265771768</v>
      </c>
    </row>
    <row r="44" spans="2:8" x14ac:dyDescent="0.25">
      <c r="B44" s="5" t="s">
        <v>135</v>
      </c>
      <c r="C44" s="3" t="s">
        <v>136</v>
      </c>
      <c r="D44" s="3">
        <v>122447</v>
      </c>
      <c r="E44" s="3">
        <v>78495</v>
      </c>
      <c r="F44" s="3">
        <v>1012</v>
      </c>
      <c r="G44" s="3" t="s">
        <v>65</v>
      </c>
      <c r="H44" s="6">
        <f t="shared" si="0"/>
        <v>0.64105286368796299</v>
      </c>
    </row>
    <row r="45" spans="2:8" x14ac:dyDescent="0.25">
      <c r="B45" s="5" t="s">
        <v>137</v>
      </c>
      <c r="C45" s="3" t="s">
        <v>138</v>
      </c>
      <c r="D45" s="3">
        <v>42520</v>
      </c>
      <c r="E45" s="3">
        <v>24519</v>
      </c>
      <c r="F45" s="3">
        <v>969</v>
      </c>
      <c r="G45" s="3" t="s">
        <v>139</v>
      </c>
      <c r="H45" s="6">
        <f t="shared" si="0"/>
        <v>0.57664628410159924</v>
      </c>
    </row>
    <row r="46" spans="2:8" x14ac:dyDescent="0.25">
      <c r="B46" s="5" t="s">
        <v>140</v>
      </c>
      <c r="C46" s="3" t="s">
        <v>141</v>
      </c>
      <c r="D46" s="3">
        <v>109147</v>
      </c>
      <c r="E46" s="3">
        <v>73906</v>
      </c>
      <c r="F46" s="3">
        <v>911</v>
      </c>
      <c r="G46" s="3" t="s">
        <v>68</v>
      </c>
      <c r="H46" s="6">
        <f t="shared" si="0"/>
        <v>0.67712351232741164</v>
      </c>
    </row>
    <row r="47" spans="2:8" x14ac:dyDescent="0.25">
      <c r="B47" s="5" t="s">
        <v>142</v>
      </c>
      <c r="C47" s="3" t="s">
        <v>143</v>
      </c>
      <c r="D47" s="3">
        <v>38521</v>
      </c>
      <c r="E47" s="3">
        <v>22839</v>
      </c>
      <c r="F47" s="3">
        <v>882</v>
      </c>
      <c r="G47" s="3" t="s">
        <v>139</v>
      </c>
      <c r="H47" s="6">
        <f t="shared" si="0"/>
        <v>0.5928973806495158</v>
      </c>
    </row>
    <row r="48" spans="2:8" x14ac:dyDescent="0.25">
      <c r="B48" s="5" t="s">
        <v>144</v>
      </c>
      <c r="C48" s="3" t="s">
        <v>145</v>
      </c>
      <c r="D48" s="3">
        <v>30105</v>
      </c>
      <c r="E48" s="3">
        <v>18373</v>
      </c>
      <c r="F48" s="3">
        <v>882</v>
      </c>
      <c r="G48" s="3" t="s">
        <v>139</v>
      </c>
      <c r="H48" s="6">
        <f t="shared" si="0"/>
        <v>0.61029729280850353</v>
      </c>
    </row>
    <row r="49" spans="2:8" x14ac:dyDescent="0.25">
      <c r="B49" s="5" t="s">
        <v>146</v>
      </c>
      <c r="C49" s="3" t="s">
        <v>147</v>
      </c>
      <c r="D49" s="3">
        <v>57593</v>
      </c>
      <c r="E49" s="3">
        <v>37559</v>
      </c>
      <c r="F49" s="3">
        <v>853</v>
      </c>
      <c r="G49" s="3" t="s">
        <v>139</v>
      </c>
      <c r="H49" s="6">
        <f t="shared" si="0"/>
        <v>0.65214522598232427</v>
      </c>
    </row>
    <row r="50" spans="2:8" x14ac:dyDescent="0.25">
      <c r="B50" s="5" t="s">
        <v>148</v>
      </c>
      <c r="C50" s="3" t="s">
        <v>149</v>
      </c>
      <c r="D50" s="3">
        <v>79701</v>
      </c>
      <c r="E50" s="3">
        <v>52211</v>
      </c>
      <c r="F50" s="3">
        <v>845</v>
      </c>
      <c r="G50" s="3" t="s">
        <v>139</v>
      </c>
      <c r="H50" s="6">
        <f t="shared" si="0"/>
        <v>0.65508588348954211</v>
      </c>
    </row>
    <row r="51" spans="2:8" x14ac:dyDescent="0.25">
      <c r="B51" s="5" t="s">
        <v>150</v>
      </c>
      <c r="C51" s="3" t="s">
        <v>151</v>
      </c>
      <c r="D51" s="3">
        <v>72057</v>
      </c>
      <c r="E51" s="3">
        <v>49952</v>
      </c>
      <c r="F51" s="3">
        <v>845</v>
      </c>
      <c r="G51" s="3" t="s">
        <v>139</v>
      </c>
      <c r="H51" s="6">
        <f t="shared" si="0"/>
        <v>0.6932289715086668</v>
      </c>
    </row>
    <row r="52" spans="2:8" x14ac:dyDescent="0.25">
      <c r="B52" s="5" t="s">
        <v>152</v>
      </c>
      <c r="C52" s="3" t="s">
        <v>153</v>
      </c>
      <c r="D52" s="3">
        <v>64802</v>
      </c>
      <c r="E52" s="3">
        <v>40601</v>
      </c>
      <c r="F52" s="3">
        <v>815</v>
      </c>
      <c r="G52" s="3" t="s">
        <v>139</v>
      </c>
      <c r="H52" s="6">
        <f t="shared" si="0"/>
        <v>0.62653930434245853</v>
      </c>
    </row>
    <row r="53" spans="2:8" x14ac:dyDescent="0.25">
      <c r="B53" s="5" t="s">
        <v>154</v>
      </c>
      <c r="C53" s="3" t="s">
        <v>155</v>
      </c>
      <c r="D53" s="3">
        <v>70976</v>
      </c>
      <c r="E53" s="3">
        <v>45327</v>
      </c>
      <c r="F53" s="3">
        <v>805</v>
      </c>
      <c r="G53" s="3" t="s">
        <v>139</v>
      </c>
      <c r="H53" s="6">
        <f t="shared" si="0"/>
        <v>0.63862432371505862</v>
      </c>
    </row>
    <row r="54" spans="2:8" x14ac:dyDescent="0.25">
      <c r="B54" s="5" t="s">
        <v>156</v>
      </c>
      <c r="C54" s="3" t="s">
        <v>157</v>
      </c>
      <c r="D54" s="3">
        <v>11729</v>
      </c>
      <c r="E54" s="3">
        <v>7822</v>
      </c>
      <c r="F54" s="3">
        <v>803</v>
      </c>
      <c r="G54" s="3" t="s">
        <v>139</v>
      </c>
      <c r="H54" s="6">
        <f t="shared" si="0"/>
        <v>0.66689402336090031</v>
      </c>
    </row>
    <row r="55" spans="2:8" x14ac:dyDescent="0.25">
      <c r="B55" s="5" t="s">
        <v>158</v>
      </c>
      <c r="C55" s="3" t="s">
        <v>159</v>
      </c>
      <c r="D55" s="3">
        <v>31209</v>
      </c>
      <c r="E55" s="3">
        <v>19183</v>
      </c>
      <c r="F55" s="3">
        <v>802</v>
      </c>
      <c r="G55" s="3" t="s">
        <v>139</v>
      </c>
      <c r="H55" s="6">
        <f t="shared" si="0"/>
        <v>0.61466243711749813</v>
      </c>
    </row>
    <row r="56" spans="2:8" x14ac:dyDescent="0.25">
      <c r="B56" s="5" t="s">
        <v>160</v>
      </c>
      <c r="C56" s="3" t="s">
        <v>161</v>
      </c>
      <c r="D56" s="3">
        <v>55419</v>
      </c>
      <c r="E56" s="3">
        <v>36511</v>
      </c>
      <c r="F56" s="3">
        <v>772</v>
      </c>
      <c r="G56" s="3" t="s">
        <v>139</v>
      </c>
      <c r="H56" s="6">
        <f t="shared" si="0"/>
        <v>0.65881737310308741</v>
      </c>
    </row>
    <row r="57" spans="2:8" x14ac:dyDescent="0.25">
      <c r="B57" s="5" t="s">
        <v>162</v>
      </c>
      <c r="C57" s="3" t="s">
        <v>163</v>
      </c>
      <c r="D57" s="3">
        <v>58402</v>
      </c>
      <c r="E57" s="3">
        <v>38586</v>
      </c>
      <c r="F57" s="3">
        <v>730</v>
      </c>
      <c r="G57" s="3" t="s">
        <v>139</v>
      </c>
      <c r="H57" s="6">
        <f t="shared" si="0"/>
        <v>0.66069655148796269</v>
      </c>
    </row>
    <row r="58" spans="2:8" x14ac:dyDescent="0.25">
      <c r="B58" s="5" t="s">
        <v>164</v>
      </c>
      <c r="C58" s="3" t="s">
        <v>165</v>
      </c>
      <c r="D58" s="3">
        <v>60401</v>
      </c>
      <c r="E58" s="3">
        <v>39644</v>
      </c>
      <c r="F58" s="3">
        <v>724</v>
      </c>
      <c r="G58" s="3" t="s">
        <v>139</v>
      </c>
      <c r="H58" s="6">
        <f t="shared" si="0"/>
        <v>0.65634674922600622</v>
      </c>
    </row>
    <row r="59" spans="2:8" x14ac:dyDescent="0.25">
      <c r="B59" s="5" t="s">
        <v>166</v>
      </c>
      <c r="C59" s="3" t="s">
        <v>167</v>
      </c>
      <c r="D59" s="3">
        <v>88001</v>
      </c>
      <c r="E59" s="3">
        <v>63902</v>
      </c>
      <c r="F59" s="3">
        <v>720</v>
      </c>
      <c r="G59" s="3" t="s">
        <v>139</v>
      </c>
      <c r="H59" s="6">
        <f t="shared" si="0"/>
        <v>0.72615083919500911</v>
      </c>
    </row>
    <row r="60" spans="2:8" x14ac:dyDescent="0.25">
      <c r="B60" s="5" t="s">
        <v>168</v>
      </c>
      <c r="C60" s="3" t="s">
        <v>169</v>
      </c>
      <c r="D60" s="3">
        <v>35800</v>
      </c>
      <c r="E60" s="3">
        <v>20848</v>
      </c>
      <c r="F60" s="3">
        <v>716</v>
      </c>
      <c r="G60" s="3" t="s">
        <v>139</v>
      </c>
      <c r="H60" s="6">
        <f t="shared" si="0"/>
        <v>0.58234636871508383</v>
      </c>
    </row>
    <row r="61" spans="2:8" x14ac:dyDescent="0.25">
      <c r="B61" s="5" t="s">
        <v>170</v>
      </c>
      <c r="C61" s="3" t="s">
        <v>171</v>
      </c>
      <c r="D61" s="3">
        <v>67232</v>
      </c>
      <c r="E61" s="3">
        <v>44352</v>
      </c>
      <c r="F61" s="3">
        <v>657</v>
      </c>
      <c r="G61" s="3" t="s">
        <v>139</v>
      </c>
      <c r="H61" s="6">
        <f t="shared" si="0"/>
        <v>0.65968586387434558</v>
      </c>
    </row>
    <row r="62" spans="2:8" x14ac:dyDescent="0.25">
      <c r="B62" s="5" t="s">
        <v>172</v>
      </c>
      <c r="C62" s="3" t="s">
        <v>173</v>
      </c>
      <c r="D62" s="3">
        <v>36343</v>
      </c>
      <c r="E62" s="3">
        <v>26467</v>
      </c>
      <c r="F62" s="3">
        <v>637</v>
      </c>
      <c r="G62" s="3" t="s">
        <v>139</v>
      </c>
      <c r="H62" s="6">
        <f t="shared" si="0"/>
        <v>0.72825578515807721</v>
      </c>
    </row>
    <row r="63" spans="2:8" x14ac:dyDescent="0.25">
      <c r="B63" s="5" t="s">
        <v>174</v>
      </c>
      <c r="C63" s="3" t="s">
        <v>175</v>
      </c>
      <c r="D63" s="3">
        <v>32863</v>
      </c>
      <c r="E63" s="3">
        <v>21221</v>
      </c>
      <c r="F63" s="3">
        <v>613</v>
      </c>
      <c r="G63" s="3" t="s">
        <v>139</v>
      </c>
      <c r="H63" s="6">
        <f t="shared" si="0"/>
        <v>0.64574141131363538</v>
      </c>
    </row>
    <row r="64" spans="2:8" x14ac:dyDescent="0.25">
      <c r="B64" s="5" t="s">
        <v>176</v>
      </c>
      <c r="C64" s="3" t="s">
        <v>177</v>
      </c>
      <c r="D64" s="3">
        <v>59549</v>
      </c>
      <c r="E64" s="3">
        <v>36082</v>
      </c>
      <c r="F64" s="3">
        <v>592</v>
      </c>
      <c r="G64" s="3" t="s">
        <v>139</v>
      </c>
      <c r="H64" s="6">
        <f t="shared" si="0"/>
        <v>0.60592117415909585</v>
      </c>
    </row>
    <row r="65" spans="2:8" x14ac:dyDescent="0.25">
      <c r="B65" s="5" t="s">
        <v>178</v>
      </c>
      <c r="C65" s="3" t="s">
        <v>179</v>
      </c>
      <c r="D65" s="3">
        <v>36391</v>
      </c>
      <c r="E65" s="3">
        <v>24933</v>
      </c>
      <c r="F65" s="3">
        <v>584</v>
      </c>
      <c r="G65" s="3" t="s">
        <v>68</v>
      </c>
      <c r="H65" s="6">
        <f t="shared" si="0"/>
        <v>0.68514193069715035</v>
      </c>
    </row>
    <row r="66" spans="2:8" x14ac:dyDescent="0.25">
      <c r="B66" s="5" t="s">
        <v>180</v>
      </c>
      <c r="C66" s="3" t="s">
        <v>181</v>
      </c>
      <c r="D66" s="3">
        <v>81503</v>
      </c>
      <c r="E66" s="3">
        <v>54741</v>
      </c>
      <c r="F66" s="3">
        <v>581</v>
      </c>
      <c r="G66" s="3" t="s">
        <v>139</v>
      </c>
      <c r="H66" s="6">
        <f t="shared" si="0"/>
        <v>0.67164398856483809</v>
      </c>
    </row>
    <row r="67" spans="2:8" x14ac:dyDescent="0.25">
      <c r="B67" s="5" t="s">
        <v>182</v>
      </c>
      <c r="C67" s="3" t="s">
        <v>183</v>
      </c>
      <c r="D67" s="3">
        <v>95997</v>
      </c>
      <c r="E67" s="3">
        <v>66347</v>
      </c>
      <c r="F67" s="3">
        <v>521</v>
      </c>
      <c r="G67" s="3" t="s">
        <v>139</v>
      </c>
      <c r="H67" s="6">
        <f t="shared" si="0"/>
        <v>0.69113618133900012</v>
      </c>
    </row>
    <row r="68" spans="2:8" x14ac:dyDescent="0.25">
      <c r="B68" s="5" t="s">
        <v>184</v>
      </c>
      <c r="C68" s="3" t="s">
        <v>185</v>
      </c>
      <c r="D68" s="3">
        <v>36998</v>
      </c>
      <c r="E68" s="3">
        <v>22803</v>
      </c>
      <c r="F68" s="3">
        <v>509</v>
      </c>
      <c r="G68" s="3" t="s">
        <v>139</v>
      </c>
      <c r="H68" s="6">
        <f t="shared" si="0"/>
        <v>0.61633061246553866</v>
      </c>
    </row>
    <row r="69" spans="2:8" x14ac:dyDescent="0.25">
      <c r="B69" s="5" t="s">
        <v>186</v>
      </c>
      <c r="C69" s="3" t="s">
        <v>187</v>
      </c>
      <c r="D69" s="3">
        <v>56697</v>
      </c>
      <c r="E69" s="3">
        <v>37908</v>
      </c>
      <c r="F69" s="3">
        <v>499</v>
      </c>
      <c r="G69" s="3" t="s">
        <v>139</v>
      </c>
      <c r="H69" s="6">
        <f t="shared" si="0"/>
        <v>0.66860680459283561</v>
      </c>
    </row>
    <row r="70" spans="2:8" x14ac:dyDescent="0.25">
      <c r="B70" s="5" t="s">
        <v>188</v>
      </c>
      <c r="C70" s="3" t="s">
        <v>189</v>
      </c>
      <c r="D70" s="3">
        <v>26724</v>
      </c>
      <c r="E70" s="3">
        <v>16976</v>
      </c>
      <c r="F70" s="3">
        <v>491</v>
      </c>
      <c r="G70" s="3" t="s">
        <v>139</v>
      </c>
      <c r="H70" s="6">
        <f t="shared" si="0"/>
        <v>0.6352342463703039</v>
      </c>
    </row>
    <row r="71" spans="2:8" x14ac:dyDescent="0.25">
      <c r="B71" s="5" t="s">
        <v>190</v>
      </c>
      <c r="C71" s="3" t="s">
        <v>191</v>
      </c>
      <c r="D71" s="3">
        <v>33431</v>
      </c>
      <c r="E71" s="3">
        <v>21331</v>
      </c>
      <c r="F71" s="3">
        <v>468</v>
      </c>
      <c r="G71" s="3" t="s">
        <v>139</v>
      </c>
      <c r="H71" s="6">
        <f t="shared" si="0"/>
        <v>0.6380604827854387</v>
      </c>
    </row>
    <row r="72" spans="2:8" x14ac:dyDescent="0.25">
      <c r="B72" s="5" t="s">
        <v>192</v>
      </c>
      <c r="C72" s="3" t="s">
        <v>193</v>
      </c>
      <c r="D72" s="3">
        <v>67228</v>
      </c>
      <c r="E72" s="3">
        <v>40376</v>
      </c>
      <c r="F72" s="3">
        <v>461</v>
      </c>
      <c r="G72" s="3" t="s">
        <v>139</v>
      </c>
      <c r="H72" s="6">
        <f t="shared" si="0"/>
        <v>0.6005830903790087</v>
      </c>
    </row>
    <row r="73" spans="2:8" x14ac:dyDescent="0.25">
      <c r="B73" s="5" t="s">
        <v>194</v>
      </c>
      <c r="C73" s="3" t="s">
        <v>195</v>
      </c>
      <c r="D73" s="3">
        <v>14240</v>
      </c>
      <c r="E73" s="3">
        <v>7573</v>
      </c>
      <c r="F73" s="3">
        <v>460</v>
      </c>
      <c r="G73" s="3" t="s">
        <v>139</v>
      </c>
      <c r="H73" s="6">
        <f t="shared" ref="H73:H136" si="1">IFERROR($E73/$D73,"")</f>
        <v>0.53181179775280896</v>
      </c>
    </row>
    <row r="74" spans="2:8" x14ac:dyDescent="0.25">
      <c r="B74" s="5" t="s">
        <v>196</v>
      </c>
      <c r="C74" s="3" t="s">
        <v>197</v>
      </c>
      <c r="D74" s="3">
        <v>75552</v>
      </c>
      <c r="E74" s="3">
        <v>45491</v>
      </c>
      <c r="F74" s="3">
        <v>450</v>
      </c>
      <c r="G74" s="3" t="s">
        <v>139</v>
      </c>
      <c r="H74" s="6">
        <f t="shared" si="1"/>
        <v>0.6021150995340957</v>
      </c>
    </row>
    <row r="75" spans="2:8" x14ac:dyDescent="0.25">
      <c r="B75" s="5" t="s">
        <v>198</v>
      </c>
      <c r="C75" s="3" t="s">
        <v>199</v>
      </c>
      <c r="D75" s="3">
        <v>44996</v>
      </c>
      <c r="E75" s="3">
        <v>32870</v>
      </c>
      <c r="F75" s="3">
        <v>446</v>
      </c>
      <c r="G75" s="3" t="s">
        <v>139</v>
      </c>
      <c r="H75" s="6">
        <f t="shared" si="1"/>
        <v>0.73050937861143217</v>
      </c>
    </row>
    <row r="76" spans="2:8" x14ac:dyDescent="0.25">
      <c r="B76" s="5" t="s">
        <v>200</v>
      </c>
      <c r="C76" s="3" t="s">
        <v>201</v>
      </c>
      <c r="D76" s="3">
        <v>40233</v>
      </c>
      <c r="E76" s="3">
        <v>27006</v>
      </c>
      <c r="F76" s="3">
        <v>411</v>
      </c>
      <c r="G76" s="3" t="s">
        <v>139</v>
      </c>
      <c r="H76" s="6">
        <f t="shared" si="1"/>
        <v>0.67124002684363582</v>
      </c>
    </row>
    <row r="77" spans="2:8" x14ac:dyDescent="0.25">
      <c r="B77" s="5" t="s">
        <v>202</v>
      </c>
      <c r="C77" s="3" t="s">
        <v>203</v>
      </c>
      <c r="D77" s="3">
        <v>95324</v>
      </c>
      <c r="E77" s="3">
        <v>57687</v>
      </c>
      <c r="F77" s="3">
        <v>410</v>
      </c>
      <c r="G77" s="3" t="s">
        <v>139</v>
      </c>
      <c r="H77" s="6">
        <f t="shared" si="1"/>
        <v>0.60516763878981161</v>
      </c>
    </row>
    <row r="78" spans="2:8" x14ac:dyDescent="0.25">
      <c r="B78" s="5" t="s">
        <v>204</v>
      </c>
      <c r="C78" s="3" t="s">
        <v>205</v>
      </c>
      <c r="D78" s="3">
        <v>31997</v>
      </c>
      <c r="E78" s="3">
        <v>21523</v>
      </c>
      <c r="F78" s="3">
        <v>398</v>
      </c>
      <c r="G78" s="3" t="s">
        <v>139</v>
      </c>
      <c r="H78" s="6">
        <f t="shared" si="1"/>
        <v>0.67265681157608526</v>
      </c>
    </row>
    <row r="79" spans="2:8" x14ac:dyDescent="0.25">
      <c r="B79" s="5" t="s">
        <v>206</v>
      </c>
      <c r="C79" s="3" t="s">
        <v>207</v>
      </c>
      <c r="D79" s="3">
        <v>44404</v>
      </c>
      <c r="E79" s="3">
        <v>30682</v>
      </c>
      <c r="F79" s="3">
        <v>393</v>
      </c>
      <c r="G79" s="3" t="s">
        <v>139</v>
      </c>
      <c r="H79" s="6">
        <f t="shared" si="1"/>
        <v>0.69097378614539229</v>
      </c>
    </row>
    <row r="80" spans="2:8" x14ac:dyDescent="0.25">
      <c r="B80" s="5" t="s">
        <v>208</v>
      </c>
      <c r="C80" s="3" t="s">
        <v>209</v>
      </c>
      <c r="D80" s="3">
        <v>31638</v>
      </c>
      <c r="E80" s="3">
        <v>20491</v>
      </c>
      <c r="F80" s="3">
        <v>378</v>
      </c>
      <c r="G80" s="3" t="s">
        <v>139</v>
      </c>
      <c r="H80" s="6">
        <f t="shared" si="1"/>
        <v>0.64767052278905113</v>
      </c>
    </row>
    <row r="81" spans="2:8" x14ac:dyDescent="0.25">
      <c r="B81" s="5" t="s">
        <v>210</v>
      </c>
      <c r="C81" s="3" t="s">
        <v>211</v>
      </c>
      <c r="D81" s="3">
        <v>29809</v>
      </c>
      <c r="E81" s="3">
        <v>20352</v>
      </c>
      <c r="F81" s="3">
        <v>376</v>
      </c>
      <c r="G81" s="3" t="s">
        <v>139</v>
      </c>
      <c r="H81" s="6">
        <f t="shared" si="1"/>
        <v>0.6827468214297695</v>
      </c>
    </row>
    <row r="82" spans="2:8" x14ac:dyDescent="0.25">
      <c r="B82" s="5" t="s">
        <v>212</v>
      </c>
      <c r="C82" s="3" t="s">
        <v>213</v>
      </c>
      <c r="D82" s="3">
        <v>23094</v>
      </c>
      <c r="E82" s="3">
        <v>13921</v>
      </c>
      <c r="F82" s="3">
        <v>370</v>
      </c>
      <c r="G82" s="3" t="s">
        <v>139</v>
      </c>
      <c r="H82" s="6">
        <f t="shared" si="1"/>
        <v>0.60279726335844808</v>
      </c>
    </row>
    <row r="83" spans="2:8" x14ac:dyDescent="0.25">
      <c r="B83" s="5" t="s">
        <v>214</v>
      </c>
      <c r="C83" s="3" t="s">
        <v>215</v>
      </c>
      <c r="D83" s="3">
        <v>62308</v>
      </c>
      <c r="E83" s="3">
        <v>37377</v>
      </c>
      <c r="F83" s="3">
        <v>364</v>
      </c>
      <c r="G83" s="3" t="s">
        <v>139</v>
      </c>
      <c r="H83" s="6">
        <f t="shared" si="1"/>
        <v>0.59987481543301024</v>
      </c>
    </row>
    <row r="84" spans="2:8" x14ac:dyDescent="0.25">
      <c r="B84" s="5" t="s">
        <v>216</v>
      </c>
      <c r="C84" s="3" t="s">
        <v>217</v>
      </c>
      <c r="D84" s="3">
        <v>35113</v>
      </c>
      <c r="E84" s="3">
        <v>22963</v>
      </c>
      <c r="F84" s="3">
        <v>356</v>
      </c>
      <c r="G84" s="3" t="s">
        <v>139</v>
      </c>
      <c r="H84" s="6">
        <f t="shared" si="1"/>
        <v>0.65397431150855811</v>
      </c>
    </row>
    <row r="85" spans="2:8" x14ac:dyDescent="0.25">
      <c r="B85" s="5" t="s">
        <v>218</v>
      </c>
      <c r="C85" s="3" t="s">
        <v>219</v>
      </c>
      <c r="D85" s="3">
        <v>55366</v>
      </c>
      <c r="E85" s="3">
        <v>38230</v>
      </c>
      <c r="F85" s="3">
        <v>338</v>
      </c>
      <c r="G85" s="3" t="s">
        <v>139</v>
      </c>
      <c r="H85" s="6">
        <f t="shared" si="1"/>
        <v>0.69049597225734205</v>
      </c>
    </row>
    <row r="86" spans="2:8" x14ac:dyDescent="0.25">
      <c r="B86" s="5" t="s">
        <v>220</v>
      </c>
      <c r="C86" s="3" t="s">
        <v>221</v>
      </c>
      <c r="D86" s="3">
        <v>57955</v>
      </c>
      <c r="E86" s="3">
        <v>38104</v>
      </c>
      <c r="F86" s="3">
        <v>337</v>
      </c>
      <c r="G86" s="3" t="s">
        <v>139</v>
      </c>
      <c r="H86" s="6">
        <f t="shared" si="1"/>
        <v>0.65747562764213618</v>
      </c>
    </row>
    <row r="87" spans="2:8" x14ac:dyDescent="0.25">
      <c r="B87" s="5" t="s">
        <v>222</v>
      </c>
      <c r="C87" s="3" t="s">
        <v>223</v>
      </c>
      <c r="D87" s="3">
        <v>14239</v>
      </c>
      <c r="E87" s="3">
        <v>8667</v>
      </c>
      <c r="F87" s="3">
        <v>335</v>
      </c>
      <c r="G87" s="3" t="s">
        <v>139</v>
      </c>
      <c r="H87" s="6">
        <f t="shared" si="1"/>
        <v>0.6086803848584873</v>
      </c>
    </row>
    <row r="88" spans="2:8" x14ac:dyDescent="0.25">
      <c r="B88" s="5" t="s">
        <v>224</v>
      </c>
      <c r="C88" s="3" t="s">
        <v>225</v>
      </c>
      <c r="D88" s="3">
        <v>35442</v>
      </c>
      <c r="E88" s="3">
        <v>23145</v>
      </c>
      <c r="F88" s="3">
        <v>321</v>
      </c>
      <c r="G88" s="3" t="s">
        <v>139</v>
      </c>
      <c r="H88" s="6">
        <f t="shared" si="1"/>
        <v>0.65303876756390722</v>
      </c>
    </row>
    <row r="89" spans="2:8" x14ac:dyDescent="0.25">
      <c r="B89" s="5" t="s">
        <v>226</v>
      </c>
      <c r="C89" s="3" t="s">
        <v>227</v>
      </c>
      <c r="D89" s="3">
        <v>15694</v>
      </c>
      <c r="E89" s="3">
        <v>9689</v>
      </c>
      <c r="F89" s="3">
        <v>284</v>
      </c>
      <c r="G89" s="3" t="s">
        <v>139</v>
      </c>
      <c r="H89" s="6">
        <f t="shared" si="1"/>
        <v>0.6173696954250032</v>
      </c>
    </row>
    <row r="90" spans="2:8" x14ac:dyDescent="0.25">
      <c r="B90" s="5" t="s">
        <v>228</v>
      </c>
      <c r="C90" s="3" t="s">
        <v>229</v>
      </c>
      <c r="D90" s="3">
        <v>43231</v>
      </c>
      <c r="E90" s="3">
        <v>28261</v>
      </c>
      <c r="F90" s="3">
        <v>274</v>
      </c>
      <c r="G90" s="3" t="s">
        <v>139</v>
      </c>
      <c r="H90" s="6">
        <f t="shared" si="1"/>
        <v>0.65372070967592699</v>
      </c>
    </row>
    <row r="91" spans="2:8" x14ac:dyDescent="0.25">
      <c r="B91" s="5" t="s">
        <v>230</v>
      </c>
      <c r="C91" s="3" t="s">
        <v>231</v>
      </c>
      <c r="D91" s="3">
        <v>23666</v>
      </c>
      <c r="E91" s="3">
        <v>15321</v>
      </c>
      <c r="F91" s="3">
        <v>259</v>
      </c>
      <c r="G91" s="3" t="s">
        <v>139</v>
      </c>
      <c r="H91" s="6">
        <f t="shared" si="1"/>
        <v>0.64738443336432017</v>
      </c>
    </row>
    <row r="92" spans="2:8" x14ac:dyDescent="0.25">
      <c r="B92" s="5" t="s">
        <v>232</v>
      </c>
      <c r="C92" s="3" t="s">
        <v>233</v>
      </c>
      <c r="D92" s="3">
        <v>30253</v>
      </c>
      <c r="E92" s="3">
        <v>21350</v>
      </c>
      <c r="F92" s="3">
        <v>247</v>
      </c>
      <c r="G92" s="3" t="s">
        <v>139</v>
      </c>
      <c r="H92" s="6">
        <f t="shared" si="1"/>
        <v>0.70571513568902255</v>
      </c>
    </row>
    <row r="93" spans="2:8" x14ac:dyDescent="0.25">
      <c r="B93" s="5" t="s">
        <v>234</v>
      </c>
      <c r="C93" s="3" t="s">
        <v>235</v>
      </c>
      <c r="D93" s="3">
        <v>23032</v>
      </c>
      <c r="E93" s="3">
        <v>15159</v>
      </c>
      <c r="F93" s="3">
        <v>229</v>
      </c>
      <c r="G93" s="3" t="s">
        <v>139</v>
      </c>
      <c r="H93" s="6">
        <f t="shared" si="1"/>
        <v>0.65817124001389371</v>
      </c>
    </row>
    <row r="94" spans="2:8" x14ac:dyDescent="0.25">
      <c r="B94" s="5" t="s">
        <v>236</v>
      </c>
      <c r="C94" s="3" t="s">
        <v>237</v>
      </c>
      <c r="D94" s="3">
        <v>22246</v>
      </c>
      <c r="E94" s="3">
        <v>13539</v>
      </c>
      <c r="F94" s="3">
        <v>228</v>
      </c>
      <c r="G94" s="3" t="s">
        <v>139</v>
      </c>
      <c r="H94" s="6">
        <f t="shared" si="1"/>
        <v>0.60860379394048369</v>
      </c>
    </row>
    <row r="95" spans="2:8" x14ac:dyDescent="0.25">
      <c r="B95" s="5" t="s">
        <v>238</v>
      </c>
      <c r="C95" s="3" t="s">
        <v>239</v>
      </c>
      <c r="D95" s="3">
        <v>13180</v>
      </c>
      <c r="E95" s="3">
        <v>8428</v>
      </c>
      <c r="F95" s="3">
        <v>227</v>
      </c>
      <c r="G95" s="3" t="s">
        <v>139</v>
      </c>
      <c r="H95" s="6">
        <f t="shared" si="1"/>
        <v>0.63945371775417303</v>
      </c>
    </row>
    <row r="96" spans="2:8" x14ac:dyDescent="0.25">
      <c r="B96" s="5" t="s">
        <v>240</v>
      </c>
      <c r="C96" s="3" t="s">
        <v>241</v>
      </c>
      <c r="D96" s="3">
        <v>8184</v>
      </c>
      <c r="E96" s="3">
        <v>5900</v>
      </c>
      <c r="F96" s="3">
        <v>226</v>
      </c>
      <c r="G96" s="3" t="s">
        <v>139</v>
      </c>
      <c r="H96" s="6">
        <f t="shared" si="1"/>
        <v>0.72091886608015643</v>
      </c>
    </row>
    <row r="97" spans="2:8" x14ac:dyDescent="0.25">
      <c r="B97" s="5" t="s">
        <v>242</v>
      </c>
      <c r="C97" s="3" t="s">
        <v>243</v>
      </c>
      <c r="D97" s="3">
        <v>24063</v>
      </c>
      <c r="E97" s="3">
        <v>16749</v>
      </c>
      <c r="F97" s="3">
        <v>225</v>
      </c>
      <c r="G97" s="3" t="s">
        <v>68</v>
      </c>
      <c r="H97" s="6">
        <f t="shared" si="1"/>
        <v>0.69604787432988402</v>
      </c>
    </row>
    <row r="98" spans="2:8" x14ac:dyDescent="0.25">
      <c r="B98" s="5" t="s">
        <v>244</v>
      </c>
      <c r="C98" s="3" t="s">
        <v>245</v>
      </c>
      <c r="D98" s="3">
        <v>4491</v>
      </c>
      <c r="E98" s="3">
        <v>2021</v>
      </c>
      <c r="F98" s="3">
        <v>184</v>
      </c>
      <c r="G98" s="3" t="s">
        <v>139</v>
      </c>
      <c r="H98" s="6">
        <f t="shared" si="1"/>
        <v>0.45001113337786686</v>
      </c>
    </row>
    <row r="99" spans="2:8" x14ac:dyDescent="0.25">
      <c r="B99" s="5" t="s">
        <v>246</v>
      </c>
      <c r="C99" s="3" t="s">
        <v>247</v>
      </c>
      <c r="D99" s="3">
        <v>29011</v>
      </c>
      <c r="E99" s="3">
        <v>19835</v>
      </c>
      <c r="F99" s="3">
        <v>184</v>
      </c>
      <c r="G99" s="3" t="s">
        <v>139</v>
      </c>
      <c r="H99" s="6">
        <f t="shared" si="1"/>
        <v>0.68370618041432563</v>
      </c>
    </row>
    <row r="100" spans="2:8" x14ac:dyDescent="0.25">
      <c r="B100" s="5" t="s">
        <v>248</v>
      </c>
      <c r="C100" s="3" t="s">
        <v>249</v>
      </c>
      <c r="D100" s="3">
        <v>2843</v>
      </c>
      <c r="E100" s="3">
        <v>1315</v>
      </c>
      <c r="F100" s="3">
        <v>178</v>
      </c>
      <c r="G100" s="3" t="s">
        <v>68</v>
      </c>
      <c r="H100" s="6">
        <f t="shared" si="1"/>
        <v>0.46253957087583536</v>
      </c>
    </row>
    <row r="101" spans="2:8" x14ac:dyDescent="0.25">
      <c r="B101" s="5" t="s">
        <v>250</v>
      </c>
      <c r="C101" s="3" t="s">
        <v>251</v>
      </c>
      <c r="D101" s="3">
        <v>96056</v>
      </c>
      <c r="E101" s="3">
        <v>63940</v>
      </c>
      <c r="F101" s="3">
        <v>174</v>
      </c>
      <c r="G101" s="3" t="s">
        <v>139</v>
      </c>
      <c r="H101" s="6">
        <f t="shared" si="1"/>
        <v>0.66565336886816029</v>
      </c>
    </row>
    <row r="102" spans="2:8" x14ac:dyDescent="0.25">
      <c r="B102" s="5" t="s">
        <v>252</v>
      </c>
      <c r="C102" s="3" t="s">
        <v>253</v>
      </c>
      <c r="D102" s="3">
        <v>46339</v>
      </c>
      <c r="E102" s="3">
        <v>33412</v>
      </c>
      <c r="F102" s="3">
        <v>171</v>
      </c>
      <c r="G102" s="3" t="s">
        <v>139</v>
      </c>
      <c r="H102" s="6">
        <f t="shared" si="1"/>
        <v>0.72103411812943741</v>
      </c>
    </row>
    <row r="103" spans="2:8" x14ac:dyDescent="0.25">
      <c r="B103" s="5" t="s">
        <v>254</v>
      </c>
      <c r="C103" s="3" t="s">
        <v>255</v>
      </c>
      <c r="D103" s="3">
        <v>6459</v>
      </c>
      <c r="E103" s="3">
        <v>3470</v>
      </c>
      <c r="F103" s="3">
        <v>169</v>
      </c>
      <c r="G103" s="3" t="s">
        <v>139</v>
      </c>
      <c r="H103" s="6">
        <f t="shared" si="1"/>
        <v>0.53723486607834026</v>
      </c>
    </row>
    <row r="104" spans="2:8" x14ac:dyDescent="0.25">
      <c r="B104" s="5" t="s">
        <v>256</v>
      </c>
      <c r="C104" s="3" t="s">
        <v>257</v>
      </c>
      <c r="D104" s="3">
        <v>16735</v>
      </c>
      <c r="E104" s="3">
        <v>11077</v>
      </c>
      <c r="F104" s="3">
        <v>161</v>
      </c>
      <c r="G104" s="3" t="s">
        <v>68</v>
      </c>
      <c r="H104" s="6">
        <f t="shared" si="1"/>
        <v>0.6619061846429638</v>
      </c>
    </row>
    <row r="105" spans="2:8" x14ac:dyDescent="0.25">
      <c r="B105" s="5" t="s">
        <v>258</v>
      </c>
      <c r="C105" s="3" t="s">
        <v>259</v>
      </c>
      <c r="D105" s="3">
        <v>34931</v>
      </c>
      <c r="E105" s="3">
        <v>21757</v>
      </c>
      <c r="F105" s="3">
        <v>155</v>
      </c>
      <c r="G105" s="3" t="s">
        <v>139</v>
      </c>
      <c r="H105" s="6">
        <f t="shared" si="1"/>
        <v>0.62285648850591169</v>
      </c>
    </row>
    <row r="106" spans="2:8" x14ac:dyDescent="0.25">
      <c r="B106" s="5" t="s">
        <v>260</v>
      </c>
      <c r="C106" s="3" t="s">
        <v>261</v>
      </c>
      <c r="D106" s="3">
        <v>43127</v>
      </c>
      <c r="E106" s="3">
        <v>30231</v>
      </c>
      <c r="F106" s="3">
        <v>154</v>
      </c>
      <c r="G106" s="3" t="s">
        <v>139</v>
      </c>
      <c r="H106" s="6">
        <f t="shared" si="1"/>
        <v>0.70097618661163541</v>
      </c>
    </row>
    <row r="107" spans="2:8" x14ac:dyDescent="0.25">
      <c r="B107" s="5" t="s">
        <v>262</v>
      </c>
      <c r="C107" s="3" t="s">
        <v>263</v>
      </c>
      <c r="D107" s="3">
        <v>21616</v>
      </c>
      <c r="E107" s="3">
        <v>15014</v>
      </c>
      <c r="F107" s="3">
        <v>148</v>
      </c>
      <c r="G107" s="3" t="s">
        <v>68</v>
      </c>
      <c r="H107" s="6">
        <f t="shared" si="1"/>
        <v>0.69457809030347895</v>
      </c>
    </row>
    <row r="108" spans="2:8" x14ac:dyDescent="0.25">
      <c r="B108" s="5" t="s">
        <v>264</v>
      </c>
      <c r="C108" s="3" t="s">
        <v>265</v>
      </c>
      <c r="D108" s="3">
        <v>23169</v>
      </c>
      <c r="E108" s="3">
        <v>15190</v>
      </c>
      <c r="F108" s="3">
        <v>141</v>
      </c>
      <c r="G108" s="3" t="s">
        <v>139</v>
      </c>
      <c r="H108" s="6">
        <f t="shared" si="1"/>
        <v>0.65561741982821875</v>
      </c>
    </row>
    <row r="109" spans="2:8" x14ac:dyDescent="0.25">
      <c r="B109" s="5" t="s">
        <v>266</v>
      </c>
      <c r="C109" s="3" t="s">
        <v>267</v>
      </c>
      <c r="D109" s="3">
        <v>10814</v>
      </c>
      <c r="E109" s="3">
        <v>6629</v>
      </c>
      <c r="F109" s="3">
        <v>127</v>
      </c>
      <c r="G109" s="3" t="s">
        <v>139</v>
      </c>
      <c r="H109" s="6">
        <f t="shared" si="1"/>
        <v>0.61300166450896987</v>
      </c>
    </row>
    <row r="110" spans="2:8" x14ac:dyDescent="0.25">
      <c r="B110" s="5" t="s">
        <v>268</v>
      </c>
      <c r="C110" s="3" t="s">
        <v>269</v>
      </c>
      <c r="D110" s="3">
        <v>31012</v>
      </c>
      <c r="E110" s="3">
        <v>21570</v>
      </c>
      <c r="F110" s="3">
        <v>126</v>
      </c>
      <c r="G110" s="3" t="s">
        <v>139</v>
      </c>
      <c r="H110" s="6">
        <f t="shared" si="1"/>
        <v>0.69553721140203795</v>
      </c>
    </row>
    <row r="111" spans="2:8" x14ac:dyDescent="0.25">
      <c r="B111" s="5" t="s">
        <v>270</v>
      </c>
      <c r="C111" s="3" t="s">
        <v>271</v>
      </c>
      <c r="D111" s="3">
        <v>11708</v>
      </c>
      <c r="E111" s="3">
        <v>8349</v>
      </c>
      <c r="F111" s="3">
        <v>122</v>
      </c>
      <c r="G111" s="3" t="s">
        <v>139</v>
      </c>
      <c r="H111" s="6">
        <f t="shared" si="1"/>
        <v>0.71310215237444485</v>
      </c>
    </row>
    <row r="112" spans="2:8" x14ac:dyDescent="0.25">
      <c r="B112" s="5" t="s">
        <v>272</v>
      </c>
      <c r="C112" s="3" t="s">
        <v>273</v>
      </c>
      <c r="D112" s="3">
        <v>25725</v>
      </c>
      <c r="E112" s="3">
        <v>18830</v>
      </c>
      <c r="F112" s="3">
        <v>116</v>
      </c>
      <c r="G112" s="3" t="s">
        <v>68</v>
      </c>
      <c r="H112" s="6">
        <f t="shared" si="1"/>
        <v>0.73197278911564623</v>
      </c>
    </row>
    <row r="113" spans="2:8" x14ac:dyDescent="0.25">
      <c r="B113" s="5" t="s">
        <v>274</v>
      </c>
      <c r="C113" s="3" t="s">
        <v>275</v>
      </c>
      <c r="D113" s="3">
        <v>20045</v>
      </c>
      <c r="E113" s="3">
        <v>17237</v>
      </c>
      <c r="F113" s="3">
        <v>114</v>
      </c>
      <c r="G113" s="3" t="s">
        <v>139</v>
      </c>
      <c r="H113" s="6">
        <f t="shared" si="1"/>
        <v>0.85991519082065349</v>
      </c>
    </row>
    <row r="114" spans="2:8" x14ac:dyDescent="0.25">
      <c r="B114" s="5" t="s">
        <v>276</v>
      </c>
      <c r="C114" s="3" t="s">
        <v>277</v>
      </c>
      <c r="D114" s="3">
        <v>2079</v>
      </c>
      <c r="E114" s="3">
        <v>1276</v>
      </c>
      <c r="F114" s="3">
        <v>111</v>
      </c>
      <c r="G114" s="3" t="s">
        <v>139</v>
      </c>
      <c r="H114" s="6">
        <f t="shared" si="1"/>
        <v>0.61375661375661372</v>
      </c>
    </row>
    <row r="115" spans="2:8" x14ac:dyDescent="0.25">
      <c r="B115" s="5" t="s">
        <v>278</v>
      </c>
      <c r="C115" s="3" t="s">
        <v>279</v>
      </c>
      <c r="D115" s="3">
        <v>22757</v>
      </c>
      <c r="E115" s="3">
        <v>15359</v>
      </c>
      <c r="F115" s="3">
        <v>101</v>
      </c>
      <c r="G115" s="3" t="s">
        <v>68</v>
      </c>
      <c r="H115" s="6">
        <f t="shared" si="1"/>
        <v>0.67491321351672018</v>
      </c>
    </row>
    <row r="116" spans="2:8" x14ac:dyDescent="0.25">
      <c r="B116" s="5" t="s">
        <v>280</v>
      </c>
      <c r="C116" s="3" t="s">
        <v>281</v>
      </c>
      <c r="D116" s="3">
        <v>32553</v>
      </c>
      <c r="E116" s="3">
        <v>20811</v>
      </c>
      <c r="F116" s="3">
        <v>96</v>
      </c>
      <c r="G116" s="3" t="s">
        <v>139</v>
      </c>
      <c r="H116" s="6">
        <f t="shared" si="1"/>
        <v>0.63929591742696523</v>
      </c>
    </row>
    <row r="117" spans="2:8" x14ac:dyDescent="0.25">
      <c r="B117" s="5" t="s">
        <v>282</v>
      </c>
      <c r="C117" s="3" t="s">
        <v>283</v>
      </c>
      <c r="D117" s="3">
        <v>32044</v>
      </c>
      <c r="E117" s="3">
        <v>21846</v>
      </c>
      <c r="F117" s="3">
        <v>89</v>
      </c>
      <c r="G117" s="3" t="s">
        <v>139</v>
      </c>
      <c r="H117" s="6">
        <f t="shared" si="1"/>
        <v>0.6817500936212707</v>
      </c>
    </row>
    <row r="118" spans="2:8" x14ac:dyDescent="0.25">
      <c r="B118" s="5" t="s">
        <v>284</v>
      </c>
      <c r="C118" s="3" t="s">
        <v>285</v>
      </c>
      <c r="D118" s="3">
        <v>19075</v>
      </c>
      <c r="E118" s="3">
        <v>12272</v>
      </c>
      <c r="F118" s="3">
        <v>87</v>
      </c>
      <c r="G118" s="3" t="s">
        <v>139</v>
      </c>
      <c r="H118" s="6">
        <f t="shared" si="1"/>
        <v>0.64335517693315858</v>
      </c>
    </row>
    <row r="119" spans="2:8" x14ac:dyDescent="0.25">
      <c r="B119" s="5" t="s">
        <v>286</v>
      </c>
      <c r="C119" s="3" t="s">
        <v>287</v>
      </c>
      <c r="D119" s="3">
        <v>4499</v>
      </c>
      <c r="E119" s="3">
        <v>2943</v>
      </c>
      <c r="F119" s="3">
        <v>85</v>
      </c>
      <c r="G119" s="3" t="s">
        <v>68</v>
      </c>
      <c r="H119" s="6">
        <f t="shared" si="1"/>
        <v>0.65414536563680814</v>
      </c>
    </row>
    <row r="120" spans="2:8" x14ac:dyDescent="0.25">
      <c r="B120" s="5" t="s">
        <v>288</v>
      </c>
      <c r="C120" s="3" t="s">
        <v>289</v>
      </c>
      <c r="D120" s="3">
        <v>11646</v>
      </c>
      <c r="E120" s="3">
        <v>7967</v>
      </c>
      <c r="F120" s="3">
        <v>81</v>
      </c>
      <c r="G120" s="3" t="s">
        <v>139</v>
      </c>
      <c r="H120" s="6">
        <f t="shared" si="1"/>
        <v>0.68409754422119184</v>
      </c>
    </row>
    <row r="121" spans="2:8" x14ac:dyDescent="0.25">
      <c r="B121" s="5" t="s">
        <v>290</v>
      </c>
      <c r="C121" s="3" t="s">
        <v>291</v>
      </c>
      <c r="D121" s="3">
        <v>12463</v>
      </c>
      <c r="E121" s="3">
        <v>8201</v>
      </c>
      <c r="F121" s="3">
        <v>80</v>
      </c>
      <c r="G121" s="3" t="s">
        <v>139</v>
      </c>
      <c r="H121" s="6">
        <f t="shared" si="1"/>
        <v>0.65802776217604109</v>
      </c>
    </row>
    <row r="122" spans="2:8" x14ac:dyDescent="0.25">
      <c r="B122" s="5" t="s">
        <v>292</v>
      </c>
      <c r="C122" s="3" t="s">
        <v>293</v>
      </c>
      <c r="D122" s="3">
        <v>24720</v>
      </c>
      <c r="E122" s="3">
        <v>21132</v>
      </c>
      <c r="F122" s="3">
        <v>74</v>
      </c>
      <c r="G122" s="3" t="s">
        <v>139</v>
      </c>
      <c r="H122" s="6">
        <f t="shared" si="1"/>
        <v>0.85485436893203881</v>
      </c>
    </row>
    <row r="123" spans="2:8" x14ac:dyDescent="0.25">
      <c r="B123" s="5" t="s">
        <v>294</v>
      </c>
      <c r="C123" s="3" t="s">
        <v>295</v>
      </c>
      <c r="D123" s="3">
        <v>3517</v>
      </c>
      <c r="E123" s="3">
        <v>2098</v>
      </c>
      <c r="F123" s="3">
        <v>72</v>
      </c>
      <c r="G123" s="3" t="s">
        <v>139</v>
      </c>
      <c r="H123" s="6">
        <f t="shared" si="1"/>
        <v>0.59653113448962181</v>
      </c>
    </row>
    <row r="124" spans="2:8" x14ac:dyDescent="0.25">
      <c r="B124" s="5" t="s">
        <v>296</v>
      </c>
      <c r="C124" s="3" t="s">
        <v>297</v>
      </c>
      <c r="D124" s="3">
        <v>13403</v>
      </c>
      <c r="E124" s="3">
        <v>8897</v>
      </c>
      <c r="F124" s="3">
        <v>69</v>
      </c>
      <c r="G124" s="3" t="s">
        <v>139</v>
      </c>
      <c r="H124" s="6">
        <f t="shared" si="1"/>
        <v>0.66380661046034473</v>
      </c>
    </row>
    <row r="125" spans="2:8" x14ac:dyDescent="0.25">
      <c r="B125" s="5" t="s">
        <v>298</v>
      </c>
      <c r="C125" s="3" t="s">
        <v>299</v>
      </c>
      <c r="D125" s="3">
        <v>38295</v>
      </c>
      <c r="E125" s="3">
        <v>26092</v>
      </c>
      <c r="F125" s="3">
        <v>58</v>
      </c>
      <c r="G125" s="3" t="s">
        <v>139</v>
      </c>
      <c r="H125" s="6">
        <f t="shared" si="1"/>
        <v>0.68134221177699439</v>
      </c>
    </row>
    <row r="126" spans="2:8" x14ac:dyDescent="0.25">
      <c r="B126" s="5" t="s">
        <v>300</v>
      </c>
      <c r="C126" s="3" t="s">
        <v>301</v>
      </c>
      <c r="D126" s="3">
        <v>3891</v>
      </c>
      <c r="E126" s="3">
        <v>2387</v>
      </c>
      <c r="F126" s="3">
        <v>57</v>
      </c>
      <c r="G126" s="3" t="s">
        <v>68</v>
      </c>
      <c r="H126" s="6">
        <f t="shared" si="1"/>
        <v>0.61346697507067594</v>
      </c>
    </row>
    <row r="127" spans="2:8" x14ac:dyDescent="0.25">
      <c r="B127" s="5" t="s">
        <v>302</v>
      </c>
      <c r="C127" s="3" t="s">
        <v>303</v>
      </c>
      <c r="D127" s="3">
        <v>47942</v>
      </c>
      <c r="E127" s="3">
        <v>30431</v>
      </c>
      <c r="F127" s="3">
        <v>55</v>
      </c>
      <c r="G127" s="3" t="s">
        <v>139</v>
      </c>
      <c r="H127" s="6">
        <f t="shared" si="1"/>
        <v>0.63474615159984982</v>
      </c>
    </row>
    <row r="128" spans="2:8" x14ac:dyDescent="0.25">
      <c r="B128" s="5" t="s">
        <v>304</v>
      </c>
      <c r="C128" s="3" t="s">
        <v>305</v>
      </c>
      <c r="D128" s="3">
        <v>2205</v>
      </c>
      <c r="E128" s="3">
        <v>1217</v>
      </c>
      <c r="F128" s="3">
        <v>52</v>
      </c>
      <c r="G128" s="3" t="s">
        <v>139</v>
      </c>
      <c r="H128" s="6">
        <f t="shared" si="1"/>
        <v>0.55192743764172336</v>
      </c>
    </row>
    <row r="129" spans="2:8" x14ac:dyDescent="0.25">
      <c r="B129" s="5" t="s">
        <v>306</v>
      </c>
      <c r="C129" s="3" t="s">
        <v>307</v>
      </c>
      <c r="D129" s="3">
        <v>4101</v>
      </c>
      <c r="E129" s="3">
        <v>2517</v>
      </c>
      <c r="F129" s="3">
        <v>51</v>
      </c>
      <c r="G129" s="3" t="s">
        <v>139</v>
      </c>
      <c r="H129" s="6">
        <f t="shared" si="1"/>
        <v>0.61375274323335771</v>
      </c>
    </row>
    <row r="130" spans="2:8" x14ac:dyDescent="0.25">
      <c r="B130" s="5" t="s">
        <v>308</v>
      </c>
      <c r="C130" s="3" t="s">
        <v>309</v>
      </c>
      <c r="D130" s="3">
        <v>2542</v>
      </c>
      <c r="E130" s="3">
        <v>1658</v>
      </c>
      <c r="F130" s="3">
        <v>49</v>
      </c>
      <c r="G130" s="3" t="s">
        <v>139</v>
      </c>
      <c r="H130" s="6">
        <f t="shared" si="1"/>
        <v>0.65224232887490163</v>
      </c>
    </row>
    <row r="131" spans="2:8" x14ac:dyDescent="0.25">
      <c r="B131" s="5" t="s">
        <v>310</v>
      </c>
      <c r="C131" s="3" t="s">
        <v>311</v>
      </c>
      <c r="D131" s="3">
        <v>2853</v>
      </c>
      <c r="E131" s="3">
        <v>2446</v>
      </c>
      <c r="F131" s="3">
        <v>47</v>
      </c>
      <c r="G131" s="3" t="s">
        <v>139</v>
      </c>
      <c r="H131" s="6">
        <f t="shared" si="1"/>
        <v>0.85734314756396779</v>
      </c>
    </row>
    <row r="132" spans="2:8" x14ac:dyDescent="0.25">
      <c r="B132" s="5" t="s">
        <v>312</v>
      </c>
      <c r="C132" s="3" t="s">
        <v>313</v>
      </c>
      <c r="D132" s="3">
        <v>4951</v>
      </c>
      <c r="E132" s="3">
        <v>3742</v>
      </c>
      <c r="F132" s="3">
        <v>44</v>
      </c>
      <c r="G132" s="3" t="s">
        <v>139</v>
      </c>
      <c r="H132" s="6">
        <f t="shared" si="1"/>
        <v>0.75580690769541503</v>
      </c>
    </row>
    <row r="133" spans="2:8" x14ac:dyDescent="0.25">
      <c r="B133" s="5" t="s">
        <v>314</v>
      </c>
      <c r="C133" s="3" t="s">
        <v>315</v>
      </c>
      <c r="D133" s="3">
        <v>14971</v>
      </c>
      <c r="E133" s="3">
        <v>10634</v>
      </c>
      <c r="F133" s="3">
        <v>40</v>
      </c>
      <c r="G133" s="3" t="s">
        <v>139</v>
      </c>
      <c r="H133" s="6">
        <f t="shared" si="1"/>
        <v>0.71030659274597552</v>
      </c>
    </row>
    <row r="134" spans="2:8" x14ac:dyDescent="0.25">
      <c r="B134" s="5" t="s">
        <v>316</v>
      </c>
      <c r="C134" s="3" t="s">
        <v>317</v>
      </c>
      <c r="D134" s="3">
        <v>6879</v>
      </c>
      <c r="E134" s="3">
        <v>4996</v>
      </c>
      <c r="F134" s="3">
        <v>40</v>
      </c>
      <c r="G134" s="3" t="s">
        <v>139</v>
      </c>
      <c r="H134" s="6">
        <f t="shared" si="1"/>
        <v>0.72626835295827885</v>
      </c>
    </row>
    <row r="135" spans="2:8" x14ac:dyDescent="0.25">
      <c r="B135" s="5" t="s">
        <v>318</v>
      </c>
      <c r="C135" s="3" t="s">
        <v>319</v>
      </c>
      <c r="D135" s="3">
        <v>31752</v>
      </c>
      <c r="E135" s="3">
        <v>21872</v>
      </c>
      <c r="F135" s="3">
        <v>40</v>
      </c>
      <c r="G135" s="3" t="s">
        <v>139</v>
      </c>
      <c r="H135" s="6">
        <f t="shared" si="1"/>
        <v>0.68883849836230793</v>
      </c>
    </row>
    <row r="136" spans="2:8" x14ac:dyDescent="0.25">
      <c r="B136" s="5" t="s">
        <v>320</v>
      </c>
      <c r="C136" s="3" t="s">
        <v>321</v>
      </c>
      <c r="D136" s="3">
        <v>3616</v>
      </c>
      <c r="E136" s="3">
        <v>2331</v>
      </c>
      <c r="F136" s="3">
        <v>36</v>
      </c>
      <c r="G136" s="3" t="s">
        <v>139</v>
      </c>
      <c r="H136" s="6">
        <f t="shared" si="1"/>
        <v>0.64463495575221241</v>
      </c>
    </row>
    <row r="137" spans="2:8" x14ac:dyDescent="0.25">
      <c r="B137" s="5" t="s">
        <v>322</v>
      </c>
      <c r="C137" s="3" t="s">
        <v>323</v>
      </c>
      <c r="D137" s="3">
        <v>34597</v>
      </c>
      <c r="E137" s="3">
        <v>27904</v>
      </c>
      <c r="F137" s="3">
        <v>35</v>
      </c>
      <c r="G137" s="3" t="s">
        <v>139</v>
      </c>
      <c r="H137" s="6">
        <f t="shared" ref="H137:H200" si="2">IFERROR($E137/$D137,"")</f>
        <v>0.80654391999306296</v>
      </c>
    </row>
    <row r="138" spans="2:8" x14ac:dyDescent="0.25">
      <c r="B138" s="5" t="s">
        <v>324</v>
      </c>
      <c r="C138" s="3" t="s">
        <v>325</v>
      </c>
      <c r="D138" s="3">
        <v>65922</v>
      </c>
      <c r="E138" s="3">
        <v>46192</v>
      </c>
      <c r="F138" s="3">
        <v>34</v>
      </c>
      <c r="G138" s="3" t="s">
        <v>68</v>
      </c>
      <c r="H138" s="6">
        <f t="shared" si="2"/>
        <v>0.70070689602863989</v>
      </c>
    </row>
    <row r="139" spans="2:8" x14ac:dyDescent="0.25">
      <c r="B139" s="5" t="s">
        <v>326</v>
      </c>
      <c r="C139" s="3" t="s">
        <v>327</v>
      </c>
      <c r="D139" s="3">
        <v>1379</v>
      </c>
      <c r="E139" s="3">
        <v>851</v>
      </c>
      <c r="F139" s="3">
        <v>30</v>
      </c>
      <c r="G139" s="3" t="s">
        <v>139</v>
      </c>
      <c r="H139" s="6">
        <f t="shared" si="2"/>
        <v>0.61711385061638868</v>
      </c>
    </row>
    <row r="140" spans="2:8" x14ac:dyDescent="0.25">
      <c r="B140" s="5" t="s">
        <v>328</v>
      </c>
      <c r="C140" s="3" t="s">
        <v>329</v>
      </c>
      <c r="D140" s="3">
        <v>1866</v>
      </c>
      <c r="E140" s="3">
        <v>1293</v>
      </c>
      <c r="F140" s="3">
        <v>30</v>
      </c>
      <c r="G140" s="3" t="s">
        <v>139</v>
      </c>
      <c r="H140" s="6">
        <f t="shared" si="2"/>
        <v>0.69292604501607713</v>
      </c>
    </row>
    <row r="141" spans="2:8" x14ac:dyDescent="0.25">
      <c r="B141" s="5" t="s">
        <v>330</v>
      </c>
      <c r="C141" s="3" t="s">
        <v>331</v>
      </c>
      <c r="D141" s="3">
        <v>1712</v>
      </c>
      <c r="E141" s="3">
        <v>1389</v>
      </c>
      <c r="F141" s="3">
        <v>29</v>
      </c>
      <c r="G141" s="3" t="s">
        <v>139</v>
      </c>
      <c r="H141" s="6">
        <f t="shared" si="2"/>
        <v>0.81133177570093462</v>
      </c>
    </row>
    <row r="142" spans="2:8" x14ac:dyDescent="0.25">
      <c r="B142" s="5" t="s">
        <v>332</v>
      </c>
      <c r="C142" s="3" t="s">
        <v>333</v>
      </c>
      <c r="D142" s="3">
        <v>2656</v>
      </c>
      <c r="E142" s="3">
        <v>2286</v>
      </c>
      <c r="F142" s="3">
        <v>28</v>
      </c>
      <c r="G142" s="3" t="s">
        <v>139</v>
      </c>
      <c r="H142" s="6">
        <f t="shared" si="2"/>
        <v>0.86069277108433739</v>
      </c>
    </row>
    <row r="143" spans="2:8" x14ac:dyDescent="0.25">
      <c r="B143" s="5" t="s">
        <v>334</v>
      </c>
      <c r="C143" s="3" t="s">
        <v>335</v>
      </c>
      <c r="D143" s="3">
        <v>3211</v>
      </c>
      <c r="E143" s="3">
        <v>2423</v>
      </c>
      <c r="F143" s="3">
        <v>27</v>
      </c>
      <c r="G143" s="3" t="s">
        <v>139</v>
      </c>
      <c r="H143" s="6">
        <f t="shared" si="2"/>
        <v>0.75459358455309877</v>
      </c>
    </row>
    <row r="144" spans="2:8" x14ac:dyDescent="0.25">
      <c r="B144" s="5" t="s">
        <v>336</v>
      </c>
      <c r="C144" s="3" t="s">
        <v>337</v>
      </c>
      <c r="D144" s="3">
        <v>2853</v>
      </c>
      <c r="E144" s="3">
        <v>1541</v>
      </c>
      <c r="F144" s="3">
        <v>27</v>
      </c>
      <c r="G144" s="3" t="s">
        <v>139</v>
      </c>
      <c r="H144" s="6">
        <f t="shared" si="2"/>
        <v>0.5401331931300386</v>
      </c>
    </row>
    <row r="145" spans="2:8" x14ac:dyDescent="0.25">
      <c r="B145" s="5" t="s">
        <v>338</v>
      </c>
      <c r="C145" s="3" t="s">
        <v>339</v>
      </c>
      <c r="D145" s="3">
        <v>2340</v>
      </c>
      <c r="E145" s="3">
        <v>1532</v>
      </c>
      <c r="F145" s="3">
        <v>26</v>
      </c>
      <c r="G145" s="3" t="s">
        <v>139</v>
      </c>
      <c r="H145" s="6">
        <f t="shared" si="2"/>
        <v>0.65470085470085471</v>
      </c>
    </row>
    <row r="146" spans="2:8" x14ac:dyDescent="0.25">
      <c r="B146" s="5" t="s">
        <v>340</v>
      </c>
      <c r="C146" s="3" t="s">
        <v>341</v>
      </c>
      <c r="D146" s="3">
        <v>1414</v>
      </c>
      <c r="E146" s="3">
        <v>1025</v>
      </c>
      <c r="F146" s="3">
        <v>26</v>
      </c>
      <c r="G146" s="3" t="s">
        <v>139</v>
      </c>
      <c r="H146" s="6">
        <f t="shared" si="2"/>
        <v>0.72489391796322489</v>
      </c>
    </row>
    <row r="147" spans="2:8" x14ac:dyDescent="0.25">
      <c r="B147" s="5" t="s">
        <v>342</v>
      </c>
      <c r="C147" s="3" t="s">
        <v>343</v>
      </c>
      <c r="D147" s="3">
        <v>7440</v>
      </c>
      <c r="E147" s="3">
        <v>5586</v>
      </c>
      <c r="F147" s="3">
        <v>25</v>
      </c>
      <c r="G147" s="3" t="s">
        <v>139</v>
      </c>
      <c r="H147" s="6">
        <f t="shared" si="2"/>
        <v>0.75080645161290327</v>
      </c>
    </row>
    <row r="148" spans="2:8" x14ac:dyDescent="0.25">
      <c r="B148" s="5" t="s">
        <v>344</v>
      </c>
      <c r="C148" s="3" t="s">
        <v>345</v>
      </c>
      <c r="D148" s="3">
        <v>5433</v>
      </c>
      <c r="E148" s="3">
        <v>4376</v>
      </c>
      <c r="F148" s="3">
        <v>25</v>
      </c>
      <c r="G148" s="3" t="s">
        <v>139</v>
      </c>
      <c r="H148" s="6">
        <f t="shared" si="2"/>
        <v>0.80544818700533771</v>
      </c>
    </row>
    <row r="149" spans="2:8" x14ac:dyDescent="0.25">
      <c r="B149" s="5" t="s">
        <v>346</v>
      </c>
      <c r="C149" s="3" t="s">
        <v>347</v>
      </c>
      <c r="D149" s="3">
        <v>3051</v>
      </c>
      <c r="E149" s="3">
        <v>2218</v>
      </c>
      <c r="F149" s="3">
        <v>25</v>
      </c>
      <c r="G149" s="3" t="s">
        <v>139</v>
      </c>
      <c r="H149" s="6">
        <f t="shared" si="2"/>
        <v>0.72697476237299241</v>
      </c>
    </row>
    <row r="150" spans="2:8" x14ac:dyDescent="0.25">
      <c r="B150" s="5" t="s">
        <v>348</v>
      </c>
      <c r="C150" s="3" t="s">
        <v>349</v>
      </c>
      <c r="D150" s="3">
        <v>5955</v>
      </c>
      <c r="E150" s="3">
        <v>4797</v>
      </c>
      <c r="F150" s="3">
        <v>22</v>
      </c>
      <c r="G150" s="3" t="s">
        <v>139</v>
      </c>
      <c r="H150" s="6">
        <f t="shared" si="2"/>
        <v>0.8055415617128463</v>
      </c>
    </row>
    <row r="151" spans="2:8" x14ac:dyDescent="0.25">
      <c r="B151" s="5" t="s">
        <v>350</v>
      </c>
      <c r="C151" s="3" t="s">
        <v>351</v>
      </c>
      <c r="D151" s="3">
        <v>84317</v>
      </c>
      <c r="E151" s="3">
        <v>59373</v>
      </c>
      <c r="F151" s="3">
        <v>22</v>
      </c>
      <c r="G151" s="3" t="s">
        <v>139</v>
      </c>
      <c r="H151" s="6">
        <f t="shared" si="2"/>
        <v>0.70416404758233808</v>
      </c>
    </row>
    <row r="152" spans="2:8" x14ac:dyDescent="0.25">
      <c r="B152" s="5" t="s">
        <v>352</v>
      </c>
      <c r="C152" s="3" t="s">
        <v>353</v>
      </c>
      <c r="D152" s="3">
        <v>2209</v>
      </c>
      <c r="E152" s="3">
        <v>1495</v>
      </c>
      <c r="F152" s="3">
        <v>22</v>
      </c>
      <c r="G152" s="3" t="s">
        <v>139</v>
      </c>
      <c r="H152" s="6">
        <f t="shared" si="2"/>
        <v>0.67677682209144407</v>
      </c>
    </row>
    <row r="153" spans="2:8" x14ac:dyDescent="0.25">
      <c r="B153" s="5" t="s">
        <v>354</v>
      </c>
      <c r="C153" s="3" t="s">
        <v>355</v>
      </c>
      <c r="D153" s="3">
        <v>48882</v>
      </c>
      <c r="E153" s="3">
        <v>30805</v>
      </c>
      <c r="F153" s="3">
        <v>21</v>
      </c>
      <c r="G153" s="3" t="s">
        <v>68</v>
      </c>
      <c r="H153" s="6">
        <f t="shared" si="2"/>
        <v>0.63019107237838057</v>
      </c>
    </row>
    <row r="154" spans="2:8" x14ac:dyDescent="0.25">
      <c r="B154" s="5" t="s">
        <v>356</v>
      </c>
      <c r="C154" s="3" t="s">
        <v>357</v>
      </c>
      <c r="D154" s="3">
        <v>3507</v>
      </c>
      <c r="E154" s="3">
        <v>2374</v>
      </c>
      <c r="F154" s="3">
        <v>21</v>
      </c>
      <c r="G154" s="3" t="s">
        <v>68</v>
      </c>
      <c r="H154" s="6">
        <f t="shared" si="2"/>
        <v>0.67693185058454519</v>
      </c>
    </row>
    <row r="155" spans="2:8" x14ac:dyDescent="0.25">
      <c r="B155" s="5" t="s">
        <v>358</v>
      </c>
      <c r="C155" s="3" t="s">
        <v>359</v>
      </c>
      <c r="D155" s="3">
        <v>2920</v>
      </c>
      <c r="E155" s="3">
        <v>1959</v>
      </c>
      <c r="F155" s="3">
        <v>20</v>
      </c>
      <c r="G155" s="3" t="s">
        <v>139</v>
      </c>
      <c r="H155" s="6">
        <f t="shared" si="2"/>
        <v>0.67089041095890412</v>
      </c>
    </row>
    <row r="156" spans="2:8" x14ac:dyDescent="0.25">
      <c r="B156" s="5" t="s">
        <v>360</v>
      </c>
      <c r="C156" s="3" t="s">
        <v>361</v>
      </c>
      <c r="D156" s="3">
        <v>2809</v>
      </c>
      <c r="E156" s="3">
        <v>1950</v>
      </c>
      <c r="F156" s="3">
        <v>19</v>
      </c>
      <c r="G156" s="3" t="s">
        <v>68</v>
      </c>
      <c r="H156" s="6">
        <f t="shared" si="2"/>
        <v>0.69419722321110711</v>
      </c>
    </row>
    <row r="157" spans="2:8" x14ac:dyDescent="0.25">
      <c r="B157" s="5" t="s">
        <v>362</v>
      </c>
      <c r="C157" s="3" t="s">
        <v>363</v>
      </c>
      <c r="D157" s="3">
        <v>42010</v>
      </c>
      <c r="E157" s="3">
        <v>35539</v>
      </c>
      <c r="F157" s="3">
        <v>19</v>
      </c>
      <c r="G157" s="3" t="s">
        <v>139</v>
      </c>
      <c r="H157" s="6">
        <f t="shared" si="2"/>
        <v>0.84596524636991188</v>
      </c>
    </row>
    <row r="158" spans="2:8" x14ac:dyDescent="0.25">
      <c r="B158" s="5" t="s">
        <v>364</v>
      </c>
      <c r="C158" s="3" t="s">
        <v>365</v>
      </c>
      <c r="D158" s="3">
        <v>1423</v>
      </c>
      <c r="E158" s="3">
        <v>996</v>
      </c>
      <c r="F158" s="3">
        <v>19</v>
      </c>
      <c r="G158" s="3" t="s">
        <v>139</v>
      </c>
      <c r="H158" s="6">
        <f t="shared" si="2"/>
        <v>0.69992972593113145</v>
      </c>
    </row>
    <row r="159" spans="2:8" x14ac:dyDescent="0.25">
      <c r="B159" s="5" t="s">
        <v>366</v>
      </c>
      <c r="C159" s="3" t="s">
        <v>367</v>
      </c>
      <c r="D159" s="3">
        <v>1583</v>
      </c>
      <c r="E159" s="3">
        <v>1170</v>
      </c>
      <c r="F159" s="3">
        <v>18</v>
      </c>
      <c r="G159" s="3" t="s">
        <v>139</v>
      </c>
      <c r="H159" s="6">
        <f t="shared" si="2"/>
        <v>0.73910296904611494</v>
      </c>
    </row>
    <row r="160" spans="2:8" x14ac:dyDescent="0.25">
      <c r="B160" s="5" t="s">
        <v>368</v>
      </c>
      <c r="C160" s="3" t="s">
        <v>369</v>
      </c>
      <c r="D160" s="3">
        <v>4139</v>
      </c>
      <c r="E160" s="3">
        <v>2738</v>
      </c>
      <c r="F160" s="3">
        <v>18</v>
      </c>
      <c r="G160" s="3" t="s">
        <v>139</v>
      </c>
      <c r="H160" s="6">
        <f t="shared" si="2"/>
        <v>0.66151244261899012</v>
      </c>
    </row>
    <row r="161" spans="2:8" x14ac:dyDescent="0.25">
      <c r="B161" s="5" t="s">
        <v>370</v>
      </c>
      <c r="C161" s="3" t="s">
        <v>371</v>
      </c>
      <c r="D161" s="3">
        <v>5069</v>
      </c>
      <c r="E161" s="3">
        <v>3427</v>
      </c>
      <c r="F161" s="3">
        <v>16</v>
      </c>
      <c r="G161" s="3" t="s">
        <v>139</v>
      </c>
      <c r="H161" s="6">
        <f t="shared" si="2"/>
        <v>0.67607023081475637</v>
      </c>
    </row>
    <row r="162" spans="2:8" x14ac:dyDescent="0.25">
      <c r="B162" s="5" t="s">
        <v>372</v>
      </c>
      <c r="C162" s="3" t="s">
        <v>373</v>
      </c>
      <c r="D162" s="3">
        <v>4734</v>
      </c>
      <c r="E162" s="3">
        <v>3848</v>
      </c>
      <c r="F162" s="3">
        <v>15</v>
      </c>
      <c r="G162" s="3" t="s">
        <v>139</v>
      </c>
      <c r="H162" s="6">
        <f t="shared" si="2"/>
        <v>0.812843261512463</v>
      </c>
    </row>
    <row r="163" spans="2:8" x14ac:dyDescent="0.25">
      <c r="B163" s="5" t="s">
        <v>374</v>
      </c>
      <c r="C163" s="3" t="s">
        <v>375</v>
      </c>
      <c r="D163" s="3">
        <v>1827</v>
      </c>
      <c r="E163" s="3">
        <v>1018</v>
      </c>
      <c r="F163" s="3">
        <v>15</v>
      </c>
      <c r="G163" s="3" t="s">
        <v>139</v>
      </c>
      <c r="H163" s="6">
        <f t="shared" si="2"/>
        <v>0.55719759168035032</v>
      </c>
    </row>
    <row r="164" spans="2:8" x14ac:dyDescent="0.25">
      <c r="B164" s="5" t="s">
        <v>376</v>
      </c>
      <c r="C164" s="3" t="s">
        <v>377</v>
      </c>
      <c r="D164" s="3">
        <v>1095</v>
      </c>
      <c r="E164" s="3">
        <v>681</v>
      </c>
      <c r="F164" s="3">
        <v>14</v>
      </c>
      <c r="G164" s="3" t="s">
        <v>139</v>
      </c>
      <c r="H164" s="6">
        <f t="shared" si="2"/>
        <v>0.62191780821917808</v>
      </c>
    </row>
    <row r="165" spans="2:8" x14ac:dyDescent="0.25">
      <c r="B165" s="5" t="s">
        <v>378</v>
      </c>
      <c r="C165" s="3" t="s">
        <v>379</v>
      </c>
      <c r="D165" s="3">
        <v>3019</v>
      </c>
      <c r="E165" s="3">
        <v>1916</v>
      </c>
      <c r="F165" s="3">
        <v>13</v>
      </c>
      <c r="G165" s="3" t="s">
        <v>139</v>
      </c>
      <c r="H165" s="6">
        <f t="shared" si="2"/>
        <v>0.63464723418350444</v>
      </c>
    </row>
    <row r="166" spans="2:8" x14ac:dyDescent="0.25">
      <c r="B166" s="5" t="s">
        <v>380</v>
      </c>
      <c r="C166" s="3" t="s">
        <v>381</v>
      </c>
      <c r="D166" s="3">
        <v>10376</v>
      </c>
      <c r="E166" s="3">
        <v>5912</v>
      </c>
      <c r="F166" s="3">
        <v>12</v>
      </c>
      <c r="G166" s="3" t="s">
        <v>68</v>
      </c>
      <c r="H166" s="6">
        <f t="shared" si="2"/>
        <v>0.56977640709329225</v>
      </c>
    </row>
    <row r="167" spans="2:8" x14ac:dyDescent="0.25">
      <c r="B167" s="5" t="s">
        <v>382</v>
      </c>
      <c r="C167" s="3" t="s">
        <v>383</v>
      </c>
      <c r="D167" s="3">
        <v>1407</v>
      </c>
      <c r="E167" s="3">
        <v>1191</v>
      </c>
      <c r="F167" s="3">
        <v>12</v>
      </c>
      <c r="G167" s="3" t="s">
        <v>68</v>
      </c>
      <c r="H167" s="6">
        <f t="shared" si="2"/>
        <v>0.84648187633262262</v>
      </c>
    </row>
    <row r="168" spans="2:8" x14ac:dyDescent="0.25">
      <c r="B168" s="5" t="s">
        <v>384</v>
      </c>
      <c r="C168" s="3" t="s">
        <v>385</v>
      </c>
      <c r="D168" s="3">
        <v>2456</v>
      </c>
      <c r="E168" s="3">
        <v>1770</v>
      </c>
      <c r="F168" s="3">
        <v>12</v>
      </c>
      <c r="G168" s="3" t="s">
        <v>139</v>
      </c>
      <c r="H168" s="6">
        <f t="shared" si="2"/>
        <v>0.72068403908794787</v>
      </c>
    </row>
    <row r="169" spans="2:8" x14ac:dyDescent="0.25">
      <c r="B169" s="5" t="s">
        <v>386</v>
      </c>
      <c r="C169" s="3" t="s">
        <v>387</v>
      </c>
      <c r="D169" s="3">
        <v>1176</v>
      </c>
      <c r="E169" s="3">
        <v>675</v>
      </c>
      <c r="F169" s="3">
        <v>12</v>
      </c>
      <c r="G169" s="3" t="s">
        <v>139</v>
      </c>
      <c r="H169" s="6">
        <f t="shared" si="2"/>
        <v>0.57397959183673475</v>
      </c>
    </row>
    <row r="170" spans="2:8" x14ac:dyDescent="0.25">
      <c r="B170" s="5" t="s">
        <v>388</v>
      </c>
      <c r="C170" s="3" t="s">
        <v>389</v>
      </c>
      <c r="D170" s="3">
        <v>21665</v>
      </c>
      <c r="E170" s="3">
        <v>15333</v>
      </c>
      <c r="F170" s="3">
        <v>12</v>
      </c>
      <c r="G170" s="3" t="s">
        <v>68</v>
      </c>
      <c r="H170" s="6">
        <f t="shared" si="2"/>
        <v>0.70773136395107317</v>
      </c>
    </row>
    <row r="171" spans="2:8" x14ac:dyDescent="0.25">
      <c r="B171" s="5" t="s">
        <v>390</v>
      </c>
      <c r="C171" s="3" t="s">
        <v>391</v>
      </c>
      <c r="D171" s="3">
        <v>1835</v>
      </c>
      <c r="E171" s="3">
        <v>1615</v>
      </c>
      <c r="F171" s="3">
        <v>11</v>
      </c>
      <c r="G171" s="3" t="s">
        <v>139</v>
      </c>
      <c r="H171" s="6">
        <f t="shared" si="2"/>
        <v>0.88010899182561309</v>
      </c>
    </row>
    <row r="172" spans="2:8" x14ac:dyDescent="0.25">
      <c r="B172" s="5" t="s">
        <v>392</v>
      </c>
      <c r="C172" s="3" t="s">
        <v>393</v>
      </c>
      <c r="D172" s="3">
        <v>28489</v>
      </c>
      <c r="E172" s="3">
        <v>20749</v>
      </c>
      <c r="F172" s="3">
        <v>11</v>
      </c>
      <c r="G172" s="3" t="s">
        <v>139</v>
      </c>
      <c r="H172" s="6">
        <f t="shared" si="2"/>
        <v>0.72831619221453892</v>
      </c>
    </row>
    <row r="173" spans="2:8" x14ac:dyDescent="0.25">
      <c r="B173" s="5" t="s">
        <v>394</v>
      </c>
      <c r="C173" s="3" t="s">
        <v>395</v>
      </c>
      <c r="D173" s="3">
        <v>9710</v>
      </c>
      <c r="E173" s="3">
        <v>7548</v>
      </c>
      <c r="F173" s="3">
        <v>11</v>
      </c>
      <c r="G173" s="3" t="s">
        <v>139</v>
      </c>
      <c r="H173" s="6">
        <f t="shared" si="2"/>
        <v>0.77734294541709581</v>
      </c>
    </row>
    <row r="174" spans="2:8" x14ac:dyDescent="0.25">
      <c r="B174" s="5" t="s">
        <v>396</v>
      </c>
      <c r="C174" s="3" t="s">
        <v>397</v>
      </c>
      <c r="D174" s="3">
        <v>2221</v>
      </c>
      <c r="E174" s="3">
        <v>1533</v>
      </c>
      <c r="F174" s="3">
        <v>11</v>
      </c>
      <c r="G174" s="3" t="s">
        <v>139</v>
      </c>
      <c r="H174" s="6">
        <f t="shared" si="2"/>
        <v>0.69022962629446194</v>
      </c>
    </row>
    <row r="175" spans="2:8" x14ac:dyDescent="0.25">
      <c r="B175" s="5" t="s">
        <v>398</v>
      </c>
      <c r="C175" s="3" t="s">
        <v>399</v>
      </c>
      <c r="D175" s="3">
        <v>1626</v>
      </c>
      <c r="E175" s="3">
        <v>1299</v>
      </c>
      <c r="F175" s="3">
        <v>11</v>
      </c>
      <c r="G175" s="3" t="s">
        <v>139</v>
      </c>
      <c r="H175" s="6">
        <f t="shared" si="2"/>
        <v>0.79889298892988925</v>
      </c>
    </row>
    <row r="176" spans="2:8" x14ac:dyDescent="0.25">
      <c r="B176" s="5" t="s">
        <v>400</v>
      </c>
      <c r="C176" s="3" t="s">
        <v>401</v>
      </c>
      <c r="D176" s="3">
        <v>1958</v>
      </c>
      <c r="E176" s="3">
        <v>1166</v>
      </c>
      <c r="F176" s="3">
        <v>11</v>
      </c>
      <c r="G176" s="3" t="s">
        <v>68</v>
      </c>
      <c r="H176" s="6">
        <f t="shared" si="2"/>
        <v>0.5955056179775281</v>
      </c>
    </row>
    <row r="177" spans="2:8" x14ac:dyDescent="0.25">
      <c r="B177" s="5" t="s">
        <v>402</v>
      </c>
      <c r="C177" s="3" t="s">
        <v>403</v>
      </c>
      <c r="D177" s="3">
        <v>2362</v>
      </c>
      <c r="E177" s="3">
        <v>1548</v>
      </c>
      <c r="F177" s="3">
        <v>10</v>
      </c>
      <c r="G177" s="3" t="s">
        <v>139</v>
      </c>
      <c r="H177" s="6">
        <f t="shared" si="2"/>
        <v>0.65537679932260795</v>
      </c>
    </row>
    <row r="178" spans="2:8" x14ac:dyDescent="0.25">
      <c r="B178" s="5" t="s">
        <v>404</v>
      </c>
      <c r="C178" s="3" t="s">
        <v>405</v>
      </c>
      <c r="D178" s="3">
        <v>1301</v>
      </c>
      <c r="E178" s="3">
        <v>927</v>
      </c>
      <c r="F178" s="3">
        <v>9</v>
      </c>
      <c r="G178" s="3" t="s">
        <v>139</v>
      </c>
      <c r="H178" s="6">
        <f t="shared" si="2"/>
        <v>0.71252882398155271</v>
      </c>
    </row>
    <row r="179" spans="2:8" x14ac:dyDescent="0.25">
      <c r="B179" s="5" t="s">
        <v>406</v>
      </c>
      <c r="C179" s="3" t="s">
        <v>407</v>
      </c>
      <c r="D179" s="3">
        <v>35185</v>
      </c>
      <c r="E179" s="3">
        <v>26757</v>
      </c>
      <c r="F179" s="3">
        <v>9</v>
      </c>
      <c r="G179" s="3" t="s">
        <v>139</v>
      </c>
      <c r="H179" s="6">
        <f t="shared" si="2"/>
        <v>0.76046610771635637</v>
      </c>
    </row>
    <row r="180" spans="2:8" x14ac:dyDescent="0.25">
      <c r="B180" s="5" t="s">
        <v>408</v>
      </c>
      <c r="C180" s="3" t="s">
        <v>409</v>
      </c>
      <c r="D180" s="3">
        <v>2399</v>
      </c>
      <c r="E180" s="3">
        <v>2082</v>
      </c>
      <c r="F180" s="3">
        <v>9</v>
      </c>
      <c r="G180" s="3" t="s">
        <v>139</v>
      </c>
      <c r="H180" s="6">
        <f t="shared" si="2"/>
        <v>0.86786160900375153</v>
      </c>
    </row>
    <row r="181" spans="2:8" x14ac:dyDescent="0.25">
      <c r="B181" s="5" t="s">
        <v>410</v>
      </c>
      <c r="C181" s="3" t="s">
        <v>411</v>
      </c>
      <c r="D181" s="3">
        <v>1225</v>
      </c>
      <c r="E181" s="3">
        <v>1014</v>
      </c>
      <c r="F181" s="3">
        <v>8</v>
      </c>
      <c r="G181" s="3" t="s">
        <v>139</v>
      </c>
      <c r="H181" s="6">
        <f t="shared" si="2"/>
        <v>0.82775510204081637</v>
      </c>
    </row>
    <row r="182" spans="2:8" x14ac:dyDescent="0.25">
      <c r="B182" s="5" t="s">
        <v>412</v>
      </c>
      <c r="C182" s="3" t="s">
        <v>413</v>
      </c>
      <c r="D182" s="3">
        <v>1313</v>
      </c>
      <c r="E182" s="3">
        <v>783</v>
      </c>
      <c r="F182" s="3">
        <v>8</v>
      </c>
      <c r="G182" s="3" t="s">
        <v>139</v>
      </c>
      <c r="H182" s="6">
        <f t="shared" si="2"/>
        <v>0.59634424980959633</v>
      </c>
    </row>
    <row r="183" spans="2:8" x14ac:dyDescent="0.25">
      <c r="B183" s="5" t="s">
        <v>414</v>
      </c>
      <c r="C183" s="3" t="s">
        <v>415</v>
      </c>
      <c r="D183" s="3">
        <v>1660</v>
      </c>
      <c r="E183" s="3">
        <v>1301</v>
      </c>
      <c r="F183" s="3">
        <v>8</v>
      </c>
      <c r="G183" s="3" t="s">
        <v>139</v>
      </c>
      <c r="H183" s="6">
        <f t="shared" si="2"/>
        <v>0.78373493975903619</v>
      </c>
    </row>
    <row r="184" spans="2:8" x14ac:dyDescent="0.25">
      <c r="B184" s="5" t="s">
        <v>416</v>
      </c>
      <c r="C184" s="3" t="s">
        <v>417</v>
      </c>
      <c r="D184" s="3">
        <v>11753</v>
      </c>
      <c r="E184" s="3">
        <v>8871</v>
      </c>
      <c r="F184" s="3">
        <v>8</v>
      </c>
      <c r="G184" s="3" t="s">
        <v>68</v>
      </c>
      <c r="H184" s="6">
        <f t="shared" si="2"/>
        <v>0.75478601208202156</v>
      </c>
    </row>
    <row r="185" spans="2:8" x14ac:dyDescent="0.25">
      <c r="B185" s="5" t="s">
        <v>418</v>
      </c>
      <c r="C185" s="3" t="s">
        <v>419</v>
      </c>
      <c r="D185" s="3">
        <v>1201</v>
      </c>
      <c r="E185" s="3">
        <v>932</v>
      </c>
      <c r="F185" s="3">
        <v>8</v>
      </c>
      <c r="G185" s="3" t="s">
        <v>139</v>
      </c>
      <c r="H185" s="6">
        <f t="shared" si="2"/>
        <v>0.77601998334721067</v>
      </c>
    </row>
    <row r="186" spans="2:8" x14ac:dyDescent="0.25">
      <c r="B186" s="5" t="s">
        <v>420</v>
      </c>
      <c r="C186" s="3" t="s">
        <v>421</v>
      </c>
      <c r="D186" s="3">
        <v>1404</v>
      </c>
      <c r="E186" s="3">
        <v>974</v>
      </c>
      <c r="F186" s="3">
        <v>7</v>
      </c>
      <c r="G186" s="3" t="s">
        <v>139</v>
      </c>
      <c r="H186" s="6">
        <f t="shared" si="2"/>
        <v>0.69373219373219375</v>
      </c>
    </row>
    <row r="187" spans="2:8" x14ac:dyDescent="0.25">
      <c r="B187" s="5" t="s">
        <v>422</v>
      </c>
      <c r="C187" s="3" t="s">
        <v>423</v>
      </c>
      <c r="D187" s="3">
        <v>4205</v>
      </c>
      <c r="E187" s="3">
        <v>3161</v>
      </c>
      <c r="F187" s="3">
        <v>7</v>
      </c>
      <c r="G187" s="3" t="s">
        <v>139</v>
      </c>
      <c r="H187" s="6">
        <f t="shared" si="2"/>
        <v>0.75172413793103443</v>
      </c>
    </row>
    <row r="188" spans="2:8" x14ac:dyDescent="0.25">
      <c r="B188" s="5" t="s">
        <v>424</v>
      </c>
      <c r="C188" s="3" t="s">
        <v>425</v>
      </c>
      <c r="D188" s="3">
        <v>1021</v>
      </c>
      <c r="E188" s="3">
        <v>834</v>
      </c>
      <c r="F188" s="3">
        <v>7</v>
      </c>
      <c r="G188" s="3" t="s">
        <v>139</v>
      </c>
      <c r="H188" s="6">
        <f t="shared" si="2"/>
        <v>0.8168462291870715</v>
      </c>
    </row>
    <row r="189" spans="2:8" x14ac:dyDescent="0.25">
      <c r="B189" s="5" t="s">
        <v>426</v>
      </c>
      <c r="C189" s="3" t="s">
        <v>427</v>
      </c>
      <c r="D189" s="3">
        <v>1635</v>
      </c>
      <c r="E189" s="3">
        <v>1242</v>
      </c>
      <c r="F189" s="3">
        <v>6</v>
      </c>
      <c r="G189" s="3" t="s">
        <v>139</v>
      </c>
      <c r="H189" s="6">
        <f t="shared" si="2"/>
        <v>0.75963302752293582</v>
      </c>
    </row>
    <row r="190" spans="2:8" x14ac:dyDescent="0.25">
      <c r="B190" s="5" t="s">
        <v>428</v>
      </c>
      <c r="C190" s="3" t="s">
        <v>429</v>
      </c>
      <c r="D190" s="3">
        <v>1267</v>
      </c>
      <c r="E190" s="3">
        <v>866</v>
      </c>
      <c r="F190" s="3">
        <v>6</v>
      </c>
      <c r="G190" s="3" t="s">
        <v>139</v>
      </c>
      <c r="H190" s="6">
        <f t="shared" si="2"/>
        <v>0.68350434096290447</v>
      </c>
    </row>
    <row r="191" spans="2:8" x14ac:dyDescent="0.25">
      <c r="B191" s="5" t="s">
        <v>430</v>
      </c>
      <c r="C191" s="3" t="s">
        <v>431</v>
      </c>
      <c r="D191" s="3">
        <v>1091</v>
      </c>
      <c r="E191" s="3">
        <v>772</v>
      </c>
      <c r="F191" s="3">
        <v>6</v>
      </c>
      <c r="G191" s="3" t="s">
        <v>139</v>
      </c>
      <c r="H191" s="6">
        <f t="shared" si="2"/>
        <v>0.70760769935838685</v>
      </c>
    </row>
    <row r="192" spans="2:8" x14ac:dyDescent="0.25">
      <c r="B192" s="5" t="s">
        <v>432</v>
      </c>
      <c r="C192" s="3" t="s">
        <v>433</v>
      </c>
      <c r="D192" s="3">
        <v>3114</v>
      </c>
      <c r="E192" s="3">
        <v>2288</v>
      </c>
      <c r="F192" s="3">
        <v>5</v>
      </c>
      <c r="G192" s="3" t="s">
        <v>139</v>
      </c>
      <c r="H192" s="6">
        <f t="shared" si="2"/>
        <v>0.73474630700064225</v>
      </c>
    </row>
    <row r="193" spans="2:8" x14ac:dyDescent="0.25">
      <c r="B193" s="5" t="s">
        <v>434</v>
      </c>
      <c r="C193" s="3" t="s">
        <v>435</v>
      </c>
      <c r="D193" s="3">
        <v>2446</v>
      </c>
      <c r="E193" s="3">
        <v>1876</v>
      </c>
      <c r="F193" s="3">
        <v>5</v>
      </c>
      <c r="G193" s="3" t="s">
        <v>68</v>
      </c>
      <c r="H193" s="6">
        <f t="shared" si="2"/>
        <v>0.76696647587898614</v>
      </c>
    </row>
    <row r="194" spans="2:8" x14ac:dyDescent="0.25">
      <c r="B194" s="5" t="s">
        <v>436</v>
      </c>
      <c r="C194" s="3" t="s">
        <v>437</v>
      </c>
      <c r="D194" s="3">
        <v>1755</v>
      </c>
      <c r="E194" s="3">
        <v>1176</v>
      </c>
      <c r="F194" s="3">
        <v>5</v>
      </c>
      <c r="G194" s="3" t="s">
        <v>139</v>
      </c>
      <c r="H194" s="6">
        <f t="shared" si="2"/>
        <v>0.67008547008547004</v>
      </c>
    </row>
    <row r="195" spans="2:8" x14ac:dyDescent="0.25">
      <c r="B195" s="5" t="s">
        <v>438</v>
      </c>
      <c r="C195" s="3" t="s">
        <v>439</v>
      </c>
      <c r="D195" s="3">
        <v>1401</v>
      </c>
      <c r="E195" s="3">
        <v>979</v>
      </c>
      <c r="F195" s="3">
        <v>5</v>
      </c>
      <c r="G195" s="3" t="s">
        <v>68</v>
      </c>
      <c r="H195" s="6">
        <f t="shared" si="2"/>
        <v>0.69878658101356173</v>
      </c>
    </row>
    <row r="196" spans="2:8" x14ac:dyDescent="0.25">
      <c r="B196" s="5" t="s">
        <v>440</v>
      </c>
      <c r="C196" s="3" t="s">
        <v>441</v>
      </c>
      <c r="D196" s="3">
        <v>1651</v>
      </c>
      <c r="E196" s="3">
        <v>1284</v>
      </c>
      <c r="F196" s="3">
        <v>5</v>
      </c>
      <c r="G196" s="3" t="s">
        <v>139</v>
      </c>
      <c r="H196" s="6">
        <f t="shared" si="2"/>
        <v>0.77771047849788011</v>
      </c>
    </row>
    <row r="197" spans="2:8" x14ac:dyDescent="0.25">
      <c r="B197" s="5" t="s">
        <v>442</v>
      </c>
      <c r="C197" s="3" t="s">
        <v>443</v>
      </c>
      <c r="D197" s="3">
        <v>1020</v>
      </c>
      <c r="E197" s="3">
        <v>809</v>
      </c>
      <c r="F197" s="3">
        <v>4</v>
      </c>
      <c r="G197" s="3" t="s">
        <v>139</v>
      </c>
      <c r="H197" s="6">
        <f t="shared" si="2"/>
        <v>0.79313725490196074</v>
      </c>
    </row>
    <row r="198" spans="2:8" x14ac:dyDescent="0.25">
      <c r="B198" s="5" t="s">
        <v>444</v>
      </c>
      <c r="C198" s="3" t="s">
        <v>445</v>
      </c>
      <c r="D198" s="3">
        <v>1265</v>
      </c>
      <c r="E198" s="3">
        <v>994</v>
      </c>
      <c r="F198" s="3">
        <v>4</v>
      </c>
      <c r="G198" s="3" t="s">
        <v>139</v>
      </c>
      <c r="H198" s="6">
        <f t="shared" si="2"/>
        <v>0.78577075098814231</v>
      </c>
    </row>
    <row r="199" spans="2:8" x14ac:dyDescent="0.25">
      <c r="B199" s="5" t="s">
        <v>446</v>
      </c>
      <c r="C199" s="3" t="s">
        <v>447</v>
      </c>
      <c r="D199" s="3">
        <v>3761</v>
      </c>
      <c r="E199" s="3">
        <v>3099</v>
      </c>
      <c r="F199" s="3">
        <v>4</v>
      </c>
      <c r="G199" s="3" t="s">
        <v>139</v>
      </c>
      <c r="H199" s="6">
        <f t="shared" si="2"/>
        <v>0.82398298324913588</v>
      </c>
    </row>
    <row r="200" spans="2:8" x14ac:dyDescent="0.25">
      <c r="B200" s="5" t="s">
        <v>448</v>
      </c>
      <c r="C200" s="3" t="s">
        <v>449</v>
      </c>
      <c r="D200" s="3">
        <v>3369</v>
      </c>
      <c r="E200" s="3">
        <v>2301</v>
      </c>
      <c r="F200" s="3">
        <v>4</v>
      </c>
      <c r="G200" s="3" t="s">
        <v>139</v>
      </c>
      <c r="H200" s="6">
        <f t="shared" si="2"/>
        <v>0.68299198575244879</v>
      </c>
    </row>
    <row r="201" spans="2:8" x14ac:dyDescent="0.25">
      <c r="B201" s="5" t="s">
        <v>450</v>
      </c>
      <c r="C201" s="3" t="s">
        <v>451</v>
      </c>
      <c r="D201" s="3">
        <v>5638</v>
      </c>
      <c r="E201" s="3">
        <v>4574</v>
      </c>
      <c r="F201" s="3">
        <v>4</v>
      </c>
      <c r="G201" s="3" t="s">
        <v>139</v>
      </c>
      <c r="H201" s="6">
        <f t="shared" ref="H201:H264" si="3">IFERROR($E201/$D201,"")</f>
        <v>0.81128059595601276</v>
      </c>
    </row>
    <row r="202" spans="2:8" x14ac:dyDescent="0.25">
      <c r="B202" s="5" t="s">
        <v>452</v>
      </c>
      <c r="C202" s="3" t="s">
        <v>453</v>
      </c>
      <c r="D202" s="3">
        <v>50979</v>
      </c>
      <c r="E202" s="3">
        <v>35688</v>
      </c>
      <c r="F202" s="3">
        <v>4</v>
      </c>
      <c r="G202" s="3" t="s">
        <v>68</v>
      </c>
      <c r="H202" s="6">
        <f t="shared" si="3"/>
        <v>0.70005296298475839</v>
      </c>
    </row>
    <row r="203" spans="2:8" x14ac:dyDescent="0.25">
      <c r="B203" s="5" t="s">
        <v>454</v>
      </c>
      <c r="C203" s="3" t="s">
        <v>455</v>
      </c>
      <c r="D203" s="3">
        <v>1741</v>
      </c>
      <c r="E203" s="3">
        <v>1509</v>
      </c>
      <c r="F203" s="3">
        <v>3</v>
      </c>
      <c r="G203" s="3" t="s">
        <v>68</v>
      </c>
      <c r="H203" s="6">
        <f t="shared" si="3"/>
        <v>0.86674325100516947</v>
      </c>
    </row>
    <row r="204" spans="2:8" x14ac:dyDescent="0.25">
      <c r="B204" s="5" t="s">
        <v>456</v>
      </c>
      <c r="C204" s="3" t="s">
        <v>457</v>
      </c>
      <c r="D204" s="3">
        <v>1603</v>
      </c>
      <c r="E204" s="3">
        <v>1269</v>
      </c>
      <c r="F204" s="3">
        <v>3</v>
      </c>
      <c r="G204" s="3" t="s">
        <v>139</v>
      </c>
      <c r="H204" s="6">
        <f t="shared" si="3"/>
        <v>0.79164067373674363</v>
      </c>
    </row>
    <row r="205" spans="2:8" x14ac:dyDescent="0.25">
      <c r="B205" s="5" t="s">
        <v>458</v>
      </c>
      <c r="C205" s="3" t="s">
        <v>459</v>
      </c>
      <c r="D205" s="3">
        <v>4065</v>
      </c>
      <c r="E205" s="3">
        <v>2826</v>
      </c>
      <c r="F205" s="3">
        <v>3</v>
      </c>
      <c r="G205" s="3" t="s">
        <v>139</v>
      </c>
      <c r="H205" s="6">
        <f t="shared" si="3"/>
        <v>0.69520295202952032</v>
      </c>
    </row>
    <row r="206" spans="2:8" x14ac:dyDescent="0.25">
      <c r="B206" s="5" t="s">
        <v>460</v>
      </c>
      <c r="C206" s="3" t="s">
        <v>461</v>
      </c>
      <c r="D206" s="3">
        <v>1084</v>
      </c>
      <c r="E206" s="3">
        <v>1014</v>
      </c>
      <c r="F206" s="3">
        <v>3</v>
      </c>
      <c r="G206" s="3" t="s">
        <v>139</v>
      </c>
      <c r="H206" s="6">
        <f t="shared" si="3"/>
        <v>0.93542435424354242</v>
      </c>
    </row>
    <row r="207" spans="2:8" x14ac:dyDescent="0.25">
      <c r="B207" s="5" t="s">
        <v>462</v>
      </c>
      <c r="C207" s="3" t="s">
        <v>463</v>
      </c>
      <c r="D207" s="3">
        <v>1210</v>
      </c>
      <c r="E207" s="3">
        <v>710</v>
      </c>
      <c r="F207" s="3">
        <v>3</v>
      </c>
      <c r="G207" s="3" t="s">
        <v>139</v>
      </c>
      <c r="H207" s="6">
        <f t="shared" si="3"/>
        <v>0.58677685950413228</v>
      </c>
    </row>
    <row r="208" spans="2:8" x14ac:dyDescent="0.25">
      <c r="B208" s="5" t="s">
        <v>464</v>
      </c>
      <c r="C208" s="3" t="s">
        <v>465</v>
      </c>
      <c r="D208" s="3">
        <v>1875</v>
      </c>
      <c r="E208" s="3">
        <v>1363</v>
      </c>
      <c r="F208" s="3">
        <v>2</v>
      </c>
      <c r="G208" s="3" t="s">
        <v>68</v>
      </c>
      <c r="H208" s="6">
        <f t="shared" si="3"/>
        <v>0.72693333333333332</v>
      </c>
    </row>
    <row r="209" spans="2:8" x14ac:dyDescent="0.25">
      <c r="B209" s="5" t="s">
        <v>466</v>
      </c>
      <c r="C209" s="3" t="s">
        <v>467</v>
      </c>
      <c r="D209" s="3">
        <v>3112</v>
      </c>
      <c r="E209" s="3">
        <v>2487</v>
      </c>
      <c r="F209" s="3">
        <v>2</v>
      </c>
      <c r="G209" s="3" t="s">
        <v>139</v>
      </c>
      <c r="H209" s="6">
        <f t="shared" si="3"/>
        <v>0.7991645244215938</v>
      </c>
    </row>
    <row r="210" spans="2:8" x14ac:dyDescent="0.25">
      <c r="B210" s="5" t="s">
        <v>468</v>
      </c>
      <c r="C210" s="3" t="s">
        <v>469</v>
      </c>
      <c r="D210" s="3">
        <v>1536</v>
      </c>
      <c r="E210" s="3">
        <v>1094</v>
      </c>
      <c r="F210" s="3">
        <v>2</v>
      </c>
      <c r="G210" s="3" t="s">
        <v>68</v>
      </c>
      <c r="H210" s="6">
        <f t="shared" si="3"/>
        <v>0.71223958333333337</v>
      </c>
    </row>
    <row r="211" spans="2:8" x14ac:dyDescent="0.25">
      <c r="B211" s="5" t="s">
        <v>470</v>
      </c>
      <c r="C211" s="3" t="s">
        <v>471</v>
      </c>
      <c r="D211" s="3">
        <v>1588</v>
      </c>
      <c r="E211" s="3">
        <v>1348</v>
      </c>
      <c r="F211" s="3">
        <v>2</v>
      </c>
      <c r="G211" s="3" t="s">
        <v>139</v>
      </c>
      <c r="H211" s="6">
        <f t="shared" si="3"/>
        <v>0.8488664987405542</v>
      </c>
    </row>
    <row r="212" spans="2:8" x14ac:dyDescent="0.25">
      <c r="B212" s="5" t="s">
        <v>472</v>
      </c>
      <c r="C212" s="3" t="s">
        <v>473</v>
      </c>
      <c r="D212" s="3">
        <v>1096</v>
      </c>
      <c r="E212" s="3">
        <v>785</v>
      </c>
      <c r="F212" s="3">
        <v>2</v>
      </c>
      <c r="G212" s="3" t="s">
        <v>139</v>
      </c>
      <c r="H212" s="6">
        <f t="shared" si="3"/>
        <v>0.71624087591240881</v>
      </c>
    </row>
    <row r="213" spans="2:8" x14ac:dyDescent="0.25">
      <c r="B213" s="5" t="s">
        <v>474</v>
      </c>
      <c r="C213" s="3" t="s">
        <v>475</v>
      </c>
      <c r="D213" s="3">
        <v>1111</v>
      </c>
      <c r="E213" s="3">
        <v>975</v>
      </c>
      <c r="F213" s="3">
        <v>2</v>
      </c>
      <c r="G213" s="3" t="s">
        <v>139</v>
      </c>
      <c r="H213" s="6">
        <f t="shared" si="3"/>
        <v>0.87758775877587758</v>
      </c>
    </row>
    <row r="214" spans="2:8" x14ac:dyDescent="0.25">
      <c r="B214" s="5" t="s">
        <v>476</v>
      </c>
      <c r="C214" s="3" t="s">
        <v>477</v>
      </c>
      <c r="D214" s="3">
        <v>15544</v>
      </c>
      <c r="E214" s="3">
        <v>12715</v>
      </c>
      <c r="F214" s="3">
        <v>2</v>
      </c>
      <c r="G214" s="3" t="s">
        <v>139</v>
      </c>
      <c r="H214" s="6">
        <f t="shared" si="3"/>
        <v>0.81800051466803914</v>
      </c>
    </row>
    <row r="215" spans="2:8" x14ac:dyDescent="0.25">
      <c r="B215" s="5" t="s">
        <v>478</v>
      </c>
      <c r="C215" s="3" t="s">
        <v>479</v>
      </c>
      <c r="D215" s="3">
        <v>8162</v>
      </c>
      <c r="E215" s="3">
        <v>6599</v>
      </c>
      <c r="F215" s="3">
        <v>1</v>
      </c>
      <c r="G215" s="3" t="s">
        <v>139</v>
      </c>
      <c r="H215" s="6">
        <f t="shared" si="3"/>
        <v>0.80850281793678025</v>
      </c>
    </row>
    <row r="216" spans="2:8" x14ac:dyDescent="0.25">
      <c r="B216" s="5" t="s">
        <v>480</v>
      </c>
      <c r="C216" s="3" t="s">
        <v>481</v>
      </c>
      <c r="D216" s="3">
        <v>1029</v>
      </c>
      <c r="E216" s="3">
        <v>907</v>
      </c>
      <c r="F216" s="3">
        <v>1</v>
      </c>
      <c r="G216" s="3" t="s">
        <v>139</v>
      </c>
      <c r="H216" s="6">
        <f t="shared" si="3"/>
        <v>0.8814382896015549</v>
      </c>
    </row>
    <row r="217" spans="2:8" x14ac:dyDescent="0.25">
      <c r="B217" s="5" t="s">
        <v>482</v>
      </c>
      <c r="C217" s="3" t="s">
        <v>483</v>
      </c>
      <c r="D217" s="3">
        <v>1162</v>
      </c>
      <c r="E217" s="3">
        <v>1049</v>
      </c>
      <c r="F217" s="3">
        <v>1</v>
      </c>
      <c r="G217" s="3" t="s">
        <v>139</v>
      </c>
      <c r="H217" s="6">
        <f t="shared" si="3"/>
        <v>0.90275387263339069</v>
      </c>
    </row>
    <row r="218" spans="2:8" x14ac:dyDescent="0.25">
      <c r="B218" s="5" t="s">
        <v>484</v>
      </c>
      <c r="C218" s="3" t="s">
        <v>485</v>
      </c>
      <c r="D218" s="3">
        <v>4754</v>
      </c>
      <c r="E218" s="3">
        <v>4113</v>
      </c>
      <c r="F218" s="3">
        <v>1</v>
      </c>
      <c r="G218" s="3" t="s">
        <v>68</v>
      </c>
      <c r="H218" s="6">
        <f t="shared" si="3"/>
        <v>0.86516617585191413</v>
      </c>
    </row>
    <row r="219" spans="2:8" x14ac:dyDescent="0.25">
      <c r="B219" s="5" t="s">
        <v>486</v>
      </c>
      <c r="C219" s="3" t="s">
        <v>487</v>
      </c>
      <c r="D219" s="3">
        <v>1296</v>
      </c>
      <c r="E219" s="3">
        <v>987</v>
      </c>
      <c r="F219" s="3">
        <v>1</v>
      </c>
      <c r="G219" s="3" t="s">
        <v>139</v>
      </c>
      <c r="H219" s="6">
        <f t="shared" si="3"/>
        <v>0.76157407407407407</v>
      </c>
    </row>
    <row r="220" spans="2:8" x14ac:dyDescent="0.25">
      <c r="B220" s="5" t="s">
        <v>488</v>
      </c>
      <c r="C220" s="3" t="s">
        <v>489</v>
      </c>
      <c r="D220" s="3">
        <v>1026</v>
      </c>
      <c r="E220" s="3">
        <v>904</v>
      </c>
      <c r="F220" s="3">
        <v>1</v>
      </c>
      <c r="G220" s="3" t="s">
        <v>139</v>
      </c>
      <c r="H220" s="6">
        <f t="shared" si="3"/>
        <v>0.88109161793372315</v>
      </c>
    </row>
    <row r="221" spans="2:8" x14ac:dyDescent="0.25">
      <c r="B221" s="5" t="s">
        <v>490</v>
      </c>
      <c r="C221" s="3" t="s">
        <v>491</v>
      </c>
      <c r="D221" s="3">
        <v>1177</v>
      </c>
      <c r="E221" s="3">
        <v>725</v>
      </c>
      <c r="F221" s="3">
        <v>1</v>
      </c>
      <c r="G221" s="3" t="s">
        <v>139</v>
      </c>
      <c r="H221" s="6">
        <f t="shared" si="3"/>
        <v>0.61597281223449452</v>
      </c>
    </row>
    <row r="222" spans="2:8" x14ac:dyDescent="0.25">
      <c r="B222" s="5" t="s">
        <v>492</v>
      </c>
      <c r="C222" s="3" t="s">
        <v>493</v>
      </c>
      <c r="D222" s="3">
        <v>1322</v>
      </c>
      <c r="E222" s="3">
        <v>1268</v>
      </c>
      <c r="F222" s="3">
        <v>1</v>
      </c>
      <c r="G222" s="3" t="s">
        <v>139</v>
      </c>
      <c r="H222" s="6">
        <f t="shared" si="3"/>
        <v>0.9591527987897126</v>
      </c>
    </row>
    <row r="223" spans="2:8" x14ac:dyDescent="0.25">
      <c r="B223" s="5" t="s">
        <v>494</v>
      </c>
      <c r="C223" s="3" t="s">
        <v>495</v>
      </c>
      <c r="D223" s="3">
        <v>1941</v>
      </c>
      <c r="E223" s="3">
        <v>1476</v>
      </c>
      <c r="F223" s="3">
        <v>1</v>
      </c>
      <c r="G223" s="3" t="s">
        <v>139</v>
      </c>
      <c r="H223" s="6">
        <f t="shared" si="3"/>
        <v>0.7604327666151468</v>
      </c>
    </row>
    <row r="224" spans="2:8" x14ac:dyDescent="0.25">
      <c r="B224" s="5" t="s">
        <v>496</v>
      </c>
      <c r="C224" s="3" t="s">
        <v>497</v>
      </c>
      <c r="D224" s="3">
        <v>2360</v>
      </c>
      <c r="E224" s="3">
        <v>1480</v>
      </c>
      <c r="F224" s="3">
        <v>1</v>
      </c>
      <c r="G224" s="3" t="s">
        <v>139</v>
      </c>
      <c r="H224" s="6">
        <f t="shared" si="3"/>
        <v>0.6271186440677966</v>
      </c>
    </row>
    <row r="225" spans="2:8" x14ac:dyDescent="0.25">
      <c r="B225" s="5" t="s">
        <v>498</v>
      </c>
      <c r="C225" s="3" t="s">
        <v>499</v>
      </c>
      <c r="D225" s="3">
        <v>1032</v>
      </c>
      <c r="E225" s="3">
        <v>919</v>
      </c>
      <c r="F225" s="3">
        <v>1</v>
      </c>
      <c r="G225" s="3" t="s">
        <v>139</v>
      </c>
      <c r="H225" s="6">
        <f t="shared" si="3"/>
        <v>0.89050387596899228</v>
      </c>
    </row>
    <row r="226" spans="2:8" x14ac:dyDescent="0.25">
      <c r="B226" s="5" t="s">
        <v>500</v>
      </c>
      <c r="C226" s="3" t="s">
        <v>501</v>
      </c>
      <c r="D226" s="3">
        <v>1474</v>
      </c>
      <c r="E226" s="3">
        <v>1123</v>
      </c>
      <c r="F226" s="3">
        <v>1</v>
      </c>
      <c r="G226" s="3" t="s">
        <v>139</v>
      </c>
      <c r="H226" s="6">
        <f t="shared" si="3"/>
        <v>0.76187245590230668</v>
      </c>
    </row>
    <row r="227" spans="2:8" x14ac:dyDescent="0.25">
      <c r="B227" s="5" t="s">
        <v>502</v>
      </c>
      <c r="C227" s="3" t="s">
        <v>503</v>
      </c>
      <c r="D227" s="3">
        <v>1596</v>
      </c>
      <c r="E227" s="3">
        <v>1060</v>
      </c>
      <c r="F227" s="3">
        <v>1</v>
      </c>
      <c r="G227" s="3" t="s">
        <v>139</v>
      </c>
      <c r="H227" s="6">
        <f t="shared" si="3"/>
        <v>0.66416040100250628</v>
      </c>
    </row>
    <row r="228" spans="2:8" x14ac:dyDescent="0.25">
      <c r="B228" s="5" t="s">
        <v>504</v>
      </c>
      <c r="C228" s="3" t="s">
        <v>505</v>
      </c>
      <c r="D228" s="3">
        <v>1407</v>
      </c>
      <c r="E228" s="3">
        <v>857</v>
      </c>
      <c r="F228" s="3">
        <v>1</v>
      </c>
      <c r="G228" s="3" t="s">
        <v>68</v>
      </c>
      <c r="H228" s="6">
        <f t="shared" si="3"/>
        <v>0.6090973702914001</v>
      </c>
    </row>
    <row r="229" spans="2:8" x14ac:dyDescent="0.25">
      <c r="B229" s="5" t="s">
        <v>506</v>
      </c>
      <c r="C229" s="3" t="s">
        <v>507</v>
      </c>
      <c r="D229" s="3">
        <v>1074</v>
      </c>
      <c r="E229" s="3">
        <v>999</v>
      </c>
      <c r="F229" s="3">
        <v>1</v>
      </c>
      <c r="G229" s="3" t="s">
        <v>68</v>
      </c>
      <c r="H229" s="6">
        <f t="shared" si="3"/>
        <v>0.93016759776536317</v>
      </c>
    </row>
    <row r="230" spans="2:8" x14ac:dyDescent="0.25">
      <c r="B230" s="5" t="s">
        <v>508</v>
      </c>
      <c r="C230" s="3" t="s">
        <v>509</v>
      </c>
      <c r="D230" s="3">
        <v>1681</v>
      </c>
      <c r="E230" s="3">
        <v>1560</v>
      </c>
      <c r="F230" s="3">
        <v>1</v>
      </c>
      <c r="G230" s="3" t="s">
        <v>68</v>
      </c>
      <c r="H230" s="6">
        <f t="shared" si="3"/>
        <v>0.92801903628792382</v>
      </c>
    </row>
    <row r="231" spans="2:8" x14ac:dyDescent="0.25">
      <c r="B231" s="5" t="s">
        <v>510</v>
      </c>
      <c r="C231" s="3" t="s">
        <v>511</v>
      </c>
      <c r="D231" s="3">
        <v>4284</v>
      </c>
      <c r="E231" s="3">
        <v>3335</v>
      </c>
      <c r="F231" s="3">
        <v>1</v>
      </c>
      <c r="G231" s="3" t="s">
        <v>139</v>
      </c>
      <c r="H231" s="6">
        <f t="shared" si="3"/>
        <v>0.77847805788982261</v>
      </c>
    </row>
    <row r="232" spans="2:8" x14ac:dyDescent="0.25">
      <c r="B232" s="5" t="s">
        <v>512</v>
      </c>
      <c r="C232" s="3" t="s">
        <v>513</v>
      </c>
      <c r="D232" s="3">
        <v>1028</v>
      </c>
      <c r="E232" s="3">
        <v>778</v>
      </c>
      <c r="F232" s="3">
        <v>1</v>
      </c>
      <c r="G232" s="3" t="s">
        <v>68</v>
      </c>
      <c r="H232" s="6">
        <f t="shared" si="3"/>
        <v>0.75680933852140075</v>
      </c>
    </row>
    <row r="233" spans="2:8" x14ac:dyDescent="0.25">
      <c r="B233" s="5" t="s">
        <v>514</v>
      </c>
      <c r="C233" s="3" t="s">
        <v>515</v>
      </c>
      <c r="D233" s="3">
        <v>3267</v>
      </c>
      <c r="E233" s="3">
        <v>2807</v>
      </c>
      <c r="F233" s="3">
        <v>0</v>
      </c>
      <c r="G233" s="3" t="s">
        <v>139</v>
      </c>
      <c r="H233" s="6">
        <f t="shared" si="3"/>
        <v>0.85919804101622288</v>
      </c>
    </row>
    <row r="234" spans="2:8" x14ac:dyDescent="0.25">
      <c r="B234" s="5" t="s">
        <v>516</v>
      </c>
      <c r="C234" s="3" t="s">
        <v>517</v>
      </c>
      <c r="D234" s="3">
        <v>3086</v>
      </c>
      <c r="E234" s="3">
        <v>3008</v>
      </c>
      <c r="F234" s="3">
        <v>0</v>
      </c>
      <c r="G234" s="3" t="s">
        <v>139</v>
      </c>
      <c r="H234" s="6">
        <f t="shared" si="3"/>
        <v>0.97472456254050555</v>
      </c>
    </row>
    <row r="235" spans="2:8" x14ac:dyDescent="0.25">
      <c r="B235" s="5" t="s">
        <v>518</v>
      </c>
      <c r="C235" s="3" t="s">
        <v>519</v>
      </c>
      <c r="D235" s="3">
        <v>1681</v>
      </c>
      <c r="E235" s="3">
        <v>1238</v>
      </c>
      <c r="F235" s="3">
        <v>0</v>
      </c>
      <c r="G235" s="3" t="s">
        <v>68</v>
      </c>
      <c r="H235" s="6">
        <f t="shared" si="3"/>
        <v>0.73646638905413442</v>
      </c>
    </row>
    <row r="236" spans="2:8" x14ac:dyDescent="0.25">
      <c r="B236" s="5" t="s">
        <v>520</v>
      </c>
      <c r="C236" s="3" t="s">
        <v>521</v>
      </c>
      <c r="D236" s="3">
        <v>1154</v>
      </c>
      <c r="E236" s="3">
        <v>757</v>
      </c>
      <c r="F236" s="3">
        <v>0</v>
      </c>
      <c r="G236" s="3" t="s">
        <v>68</v>
      </c>
      <c r="H236" s="6">
        <f t="shared" si="3"/>
        <v>0.65597920277296362</v>
      </c>
    </row>
    <row r="237" spans="2:8" x14ac:dyDescent="0.25">
      <c r="B237" s="5" t="s">
        <v>522</v>
      </c>
      <c r="C237" s="3" t="s">
        <v>523</v>
      </c>
      <c r="D237" s="3">
        <v>4290</v>
      </c>
      <c r="E237" s="3">
        <v>2814</v>
      </c>
      <c r="F237" s="3">
        <v>0</v>
      </c>
      <c r="G237" s="3" t="s">
        <v>139</v>
      </c>
      <c r="H237" s="6">
        <f t="shared" si="3"/>
        <v>0.65594405594405591</v>
      </c>
    </row>
    <row r="238" spans="2:8" x14ac:dyDescent="0.25">
      <c r="B238" s="5" t="s">
        <v>524</v>
      </c>
      <c r="C238" s="3" t="s">
        <v>525</v>
      </c>
      <c r="D238" s="3">
        <v>3828</v>
      </c>
      <c r="E238" s="3">
        <v>3045</v>
      </c>
      <c r="F238" s="3">
        <v>0</v>
      </c>
      <c r="G238" s="3" t="s">
        <v>139</v>
      </c>
      <c r="H238" s="6">
        <f t="shared" si="3"/>
        <v>0.79545454545454541</v>
      </c>
    </row>
    <row r="239" spans="2:8" x14ac:dyDescent="0.25">
      <c r="B239" s="5" t="s">
        <v>526</v>
      </c>
      <c r="C239" s="3" t="s">
        <v>527</v>
      </c>
      <c r="D239" s="3">
        <v>1002</v>
      </c>
      <c r="E239" s="3">
        <v>740</v>
      </c>
      <c r="F239" s="3">
        <v>0</v>
      </c>
      <c r="G239" s="3" t="s">
        <v>68</v>
      </c>
      <c r="H239" s="6">
        <f t="shared" si="3"/>
        <v>0.73852295409181634</v>
      </c>
    </row>
    <row r="240" spans="2:8" x14ac:dyDescent="0.25">
      <c r="B240" s="5" t="s">
        <v>528</v>
      </c>
      <c r="C240" s="3" t="s">
        <v>529</v>
      </c>
      <c r="D240" s="3">
        <v>1267</v>
      </c>
      <c r="E240" s="3">
        <v>1008</v>
      </c>
      <c r="F240" s="3">
        <v>0</v>
      </c>
      <c r="G240" s="3" t="s">
        <v>68</v>
      </c>
      <c r="H240" s="6">
        <f t="shared" si="3"/>
        <v>0.79558011049723754</v>
      </c>
    </row>
    <row r="241" spans="2:8" x14ac:dyDescent="0.25">
      <c r="B241" s="5" t="s">
        <v>530</v>
      </c>
      <c r="C241" s="3" t="s">
        <v>531</v>
      </c>
      <c r="D241" s="3">
        <v>4705</v>
      </c>
      <c r="E241" s="3">
        <v>4601</v>
      </c>
      <c r="F241" s="3">
        <v>0</v>
      </c>
      <c r="G241" s="3" t="s">
        <v>139</v>
      </c>
      <c r="H241" s="6">
        <f t="shared" si="3"/>
        <v>0.97789585547290114</v>
      </c>
    </row>
    <row r="242" spans="2:8" x14ac:dyDescent="0.25">
      <c r="B242" s="5" t="s">
        <v>532</v>
      </c>
      <c r="C242" s="3" t="s">
        <v>533</v>
      </c>
      <c r="D242" s="3">
        <v>1120</v>
      </c>
      <c r="E242" s="3">
        <v>1102</v>
      </c>
      <c r="F242" s="3">
        <v>0</v>
      </c>
      <c r="G242" s="3" t="s">
        <v>68</v>
      </c>
      <c r="H242" s="6">
        <f t="shared" si="3"/>
        <v>0.98392857142857137</v>
      </c>
    </row>
    <row r="243" spans="2:8" x14ac:dyDescent="0.25">
      <c r="B243" s="5" t="s">
        <v>534</v>
      </c>
      <c r="C243" s="3" t="s">
        <v>535</v>
      </c>
      <c r="D243" s="3">
        <v>1206</v>
      </c>
      <c r="E243" s="3">
        <v>1066</v>
      </c>
      <c r="F243" s="3">
        <v>0</v>
      </c>
      <c r="G243" s="3" t="s">
        <v>139</v>
      </c>
      <c r="H243" s="6">
        <f t="shared" si="3"/>
        <v>0.88391376451077941</v>
      </c>
    </row>
    <row r="244" spans="2:8" x14ac:dyDescent="0.25">
      <c r="B244" s="5" t="s">
        <v>536</v>
      </c>
      <c r="C244" s="3" t="s">
        <v>537</v>
      </c>
      <c r="D244" s="3">
        <v>1641</v>
      </c>
      <c r="E244" s="3">
        <v>1515</v>
      </c>
      <c r="F244" s="3">
        <v>0</v>
      </c>
      <c r="G244" s="3" t="s">
        <v>68</v>
      </c>
      <c r="H244" s="6">
        <f t="shared" si="3"/>
        <v>0.92321755027422303</v>
      </c>
    </row>
    <row r="245" spans="2:8" x14ac:dyDescent="0.25">
      <c r="B245" s="5" t="s">
        <v>538</v>
      </c>
      <c r="C245" s="3" t="s">
        <v>539</v>
      </c>
      <c r="D245" s="3">
        <v>38312</v>
      </c>
      <c r="E245" s="3">
        <v>26122</v>
      </c>
      <c r="F245" s="3">
        <v>0</v>
      </c>
      <c r="G245" s="3" t="s">
        <v>139</v>
      </c>
      <c r="H245" s="6">
        <f t="shared" si="3"/>
        <v>0.68182292754228435</v>
      </c>
    </row>
    <row r="246" spans="2:8" x14ac:dyDescent="0.25">
      <c r="B246" s="5" t="s">
        <v>540</v>
      </c>
      <c r="C246" s="3" t="s">
        <v>541</v>
      </c>
      <c r="D246" s="3">
        <v>61717</v>
      </c>
      <c r="E246" s="3">
        <v>46214</v>
      </c>
      <c r="F246" s="3">
        <v>0</v>
      </c>
      <c r="G246" s="3" t="s">
        <v>139</v>
      </c>
      <c r="H246" s="6">
        <f t="shared" si="3"/>
        <v>0.74880502940842875</v>
      </c>
    </row>
    <row r="247" spans="2:8" x14ac:dyDescent="0.25">
      <c r="B247" s="5" t="s">
        <v>542</v>
      </c>
      <c r="C247" s="3" t="s">
        <v>543</v>
      </c>
      <c r="D247" s="3">
        <v>2261</v>
      </c>
      <c r="E247" s="3">
        <v>2259</v>
      </c>
      <c r="F247" s="3">
        <v>0</v>
      </c>
      <c r="G247" s="3" t="s">
        <v>139</v>
      </c>
      <c r="H247" s="6">
        <f t="shared" si="3"/>
        <v>0.99911543564794336</v>
      </c>
    </row>
    <row r="248" spans="2:8" x14ac:dyDescent="0.25">
      <c r="B248" s="5" t="s">
        <v>544</v>
      </c>
      <c r="C248" s="3" t="s">
        <v>545</v>
      </c>
      <c r="D248" s="3">
        <v>1064</v>
      </c>
      <c r="E248" s="3">
        <v>701</v>
      </c>
      <c r="F248" s="3">
        <v>0</v>
      </c>
      <c r="G248" s="3" t="s">
        <v>139</v>
      </c>
      <c r="H248" s="6">
        <f t="shared" si="3"/>
        <v>0.65883458646616544</v>
      </c>
    </row>
    <row r="249" spans="2:8" x14ac:dyDescent="0.25">
      <c r="B249" s="5" t="s">
        <v>546</v>
      </c>
      <c r="C249" s="3" t="s">
        <v>547</v>
      </c>
      <c r="D249" s="3">
        <v>4576</v>
      </c>
      <c r="E249" s="3">
        <v>3917</v>
      </c>
      <c r="F249" s="3">
        <v>0</v>
      </c>
      <c r="G249" s="3" t="s">
        <v>139</v>
      </c>
      <c r="H249" s="6">
        <f t="shared" si="3"/>
        <v>0.85598776223776218</v>
      </c>
    </row>
    <row r="250" spans="2:8" x14ac:dyDescent="0.25">
      <c r="B250" s="5" t="s">
        <v>548</v>
      </c>
      <c r="C250" s="3" t="s">
        <v>549</v>
      </c>
      <c r="D250" s="3">
        <v>1706</v>
      </c>
      <c r="E250" s="3">
        <v>1388</v>
      </c>
      <c r="F250" s="3">
        <v>0</v>
      </c>
      <c r="G250" s="3" t="s">
        <v>139</v>
      </c>
      <c r="H250" s="6">
        <f t="shared" si="3"/>
        <v>0.81359906213364597</v>
      </c>
    </row>
    <row r="251" spans="2:8" x14ac:dyDescent="0.25">
      <c r="B251" s="5" t="s">
        <v>550</v>
      </c>
      <c r="C251" s="3" t="s">
        <v>551</v>
      </c>
      <c r="D251" s="3">
        <v>3201</v>
      </c>
      <c r="E251" s="3">
        <v>2077</v>
      </c>
      <c r="F251" s="3">
        <v>0</v>
      </c>
      <c r="G251" s="3" t="s">
        <v>139</v>
      </c>
      <c r="H251" s="6">
        <f t="shared" si="3"/>
        <v>0.64885973133395813</v>
      </c>
    </row>
    <row r="252" spans="2:8" x14ac:dyDescent="0.25">
      <c r="B252" s="5" t="s">
        <v>552</v>
      </c>
      <c r="C252" s="3" t="s">
        <v>553</v>
      </c>
      <c r="D252" s="3">
        <v>1968</v>
      </c>
      <c r="E252" s="3">
        <v>1677</v>
      </c>
      <c r="F252" s="3">
        <v>0</v>
      </c>
      <c r="G252" s="3" t="s">
        <v>139</v>
      </c>
      <c r="H252" s="6">
        <f t="shared" si="3"/>
        <v>0.85213414634146345</v>
      </c>
    </row>
    <row r="253" spans="2:8" x14ac:dyDescent="0.25">
      <c r="B253" s="5" t="s">
        <v>554</v>
      </c>
      <c r="C253" s="3" t="s">
        <v>555</v>
      </c>
      <c r="D253" s="3">
        <v>2696</v>
      </c>
      <c r="E253" s="3">
        <v>2430</v>
      </c>
      <c r="F253" s="3">
        <v>0</v>
      </c>
      <c r="G253" s="3" t="s">
        <v>139</v>
      </c>
      <c r="H253" s="6">
        <f t="shared" si="3"/>
        <v>0.9013353115727003</v>
      </c>
    </row>
    <row r="254" spans="2:8" x14ac:dyDescent="0.25">
      <c r="B254" s="5" t="s">
        <v>556</v>
      </c>
      <c r="C254" s="3" t="s">
        <v>557</v>
      </c>
      <c r="D254" s="3">
        <v>1102</v>
      </c>
      <c r="E254" s="3">
        <v>954</v>
      </c>
      <c r="F254" s="3">
        <v>0</v>
      </c>
      <c r="G254" s="3" t="s">
        <v>139</v>
      </c>
      <c r="H254" s="6">
        <f t="shared" si="3"/>
        <v>0.8656987295825771</v>
      </c>
    </row>
    <row r="255" spans="2:8" x14ac:dyDescent="0.25">
      <c r="B255" s="5" t="s">
        <v>558</v>
      </c>
      <c r="C255" s="3" t="s">
        <v>559</v>
      </c>
      <c r="D255" s="3">
        <v>16487</v>
      </c>
      <c r="E255" s="3">
        <v>12950</v>
      </c>
      <c r="F255" s="3">
        <v>0</v>
      </c>
      <c r="G255" s="3" t="s">
        <v>139</v>
      </c>
      <c r="H255" s="6">
        <f t="shared" si="3"/>
        <v>0.78546733790258993</v>
      </c>
    </row>
    <row r="256" spans="2:8" x14ac:dyDescent="0.25">
      <c r="B256" s="5" t="s">
        <v>560</v>
      </c>
      <c r="C256" s="3" t="s">
        <v>561</v>
      </c>
      <c r="D256" s="3">
        <v>1073</v>
      </c>
      <c r="E256" s="3">
        <v>890</v>
      </c>
      <c r="F256" s="3">
        <v>0</v>
      </c>
      <c r="G256" s="3" t="s">
        <v>139</v>
      </c>
      <c r="H256" s="6">
        <f t="shared" si="3"/>
        <v>0.8294501397949674</v>
      </c>
    </row>
    <row r="257" spans="2:8" x14ac:dyDescent="0.25">
      <c r="B257" s="5" t="s">
        <v>562</v>
      </c>
      <c r="C257" s="3" t="s">
        <v>563</v>
      </c>
      <c r="D257" s="3">
        <v>1407</v>
      </c>
      <c r="E257" s="3">
        <v>1222</v>
      </c>
      <c r="F257" s="3">
        <v>0</v>
      </c>
      <c r="G257" s="3" t="s">
        <v>139</v>
      </c>
      <c r="H257" s="6">
        <f t="shared" si="3"/>
        <v>0.8685145700071073</v>
      </c>
    </row>
    <row r="258" spans="2:8" x14ac:dyDescent="0.25">
      <c r="B258" s="5" t="s">
        <v>564</v>
      </c>
      <c r="C258" s="3" t="s">
        <v>565</v>
      </c>
      <c r="D258" s="3">
        <v>1062</v>
      </c>
      <c r="E258" s="3">
        <v>818</v>
      </c>
      <c r="F258" s="3">
        <v>0</v>
      </c>
      <c r="G258" s="3" t="s">
        <v>139</v>
      </c>
      <c r="H258" s="6">
        <f t="shared" si="3"/>
        <v>0.77024482109227876</v>
      </c>
    </row>
    <row r="259" spans="2:8" x14ac:dyDescent="0.25">
      <c r="B259" s="5" t="s">
        <v>566</v>
      </c>
      <c r="C259" s="3" t="s">
        <v>567</v>
      </c>
      <c r="D259" s="3">
        <v>1192</v>
      </c>
      <c r="E259" s="3">
        <v>978</v>
      </c>
      <c r="F259" s="3">
        <v>0</v>
      </c>
      <c r="G259" s="3" t="s">
        <v>139</v>
      </c>
      <c r="H259" s="6">
        <f t="shared" si="3"/>
        <v>0.82046979865771807</v>
      </c>
    </row>
    <row r="260" spans="2:8" x14ac:dyDescent="0.25">
      <c r="B260" s="5" t="s">
        <v>568</v>
      </c>
      <c r="C260" s="3" t="s">
        <v>569</v>
      </c>
      <c r="D260" s="3">
        <v>2035</v>
      </c>
      <c r="E260" s="3">
        <v>1897</v>
      </c>
      <c r="F260" s="3">
        <v>0</v>
      </c>
      <c r="G260" s="3" t="s">
        <v>68</v>
      </c>
      <c r="H260" s="6">
        <f t="shared" si="3"/>
        <v>0.9321867321867322</v>
      </c>
    </row>
    <row r="261" spans="2:8" x14ac:dyDescent="0.25">
      <c r="B261" s="5" t="s">
        <v>570</v>
      </c>
      <c r="C261" s="3" t="s">
        <v>571</v>
      </c>
      <c r="D261" s="3">
        <v>1183</v>
      </c>
      <c r="E261" s="3">
        <v>1139</v>
      </c>
      <c r="F261" s="3">
        <v>0</v>
      </c>
      <c r="G261" s="3" t="s">
        <v>139</v>
      </c>
      <c r="H261" s="6">
        <f t="shared" si="3"/>
        <v>0.96280642434488584</v>
      </c>
    </row>
    <row r="262" spans="2:8" x14ac:dyDescent="0.25">
      <c r="B262" s="5" t="s">
        <v>572</v>
      </c>
      <c r="C262" s="3" t="s">
        <v>573</v>
      </c>
      <c r="D262" s="3">
        <v>5198</v>
      </c>
      <c r="E262" s="3">
        <v>3860</v>
      </c>
      <c r="F262" s="3">
        <v>0</v>
      </c>
      <c r="G262" s="3" t="s">
        <v>139</v>
      </c>
      <c r="H262" s="6">
        <f t="shared" si="3"/>
        <v>0.74259330511735278</v>
      </c>
    </row>
    <row r="263" spans="2:8" x14ac:dyDescent="0.25">
      <c r="B263" s="5" t="s">
        <v>574</v>
      </c>
      <c r="C263" s="3" t="s">
        <v>575</v>
      </c>
      <c r="D263" s="3">
        <v>2020</v>
      </c>
      <c r="E263" s="3">
        <v>1420</v>
      </c>
      <c r="F263" s="3">
        <v>0</v>
      </c>
      <c r="G263" s="3" t="s">
        <v>68</v>
      </c>
      <c r="H263" s="6">
        <f t="shared" si="3"/>
        <v>0.70297029702970293</v>
      </c>
    </row>
    <row r="264" spans="2:8" x14ac:dyDescent="0.25">
      <c r="B264" s="5" t="s">
        <v>576</v>
      </c>
      <c r="C264" s="3" t="s">
        <v>577</v>
      </c>
      <c r="D264" s="3">
        <v>2494</v>
      </c>
      <c r="E264" s="3">
        <v>2027</v>
      </c>
      <c r="F264" s="3">
        <v>0</v>
      </c>
      <c r="G264" s="3" t="s">
        <v>139</v>
      </c>
      <c r="H264" s="6">
        <f t="shared" si="3"/>
        <v>0.81275060144346434</v>
      </c>
    </row>
    <row r="265" spans="2:8" x14ac:dyDescent="0.25">
      <c r="B265" s="5" t="s">
        <v>578</v>
      </c>
      <c r="C265" s="3" t="s">
        <v>579</v>
      </c>
      <c r="D265" s="3">
        <v>4431</v>
      </c>
      <c r="E265" s="3">
        <v>4224</v>
      </c>
      <c r="F265" s="3">
        <v>0</v>
      </c>
      <c r="G265" s="3" t="s">
        <v>139</v>
      </c>
      <c r="H265" s="6">
        <f t="shared" ref="H265:H278" si="4">IFERROR($E265/$D265,"")</f>
        <v>0.95328368314150302</v>
      </c>
    </row>
    <row r="266" spans="2:8" x14ac:dyDescent="0.25">
      <c r="B266" s="5" t="s">
        <v>580</v>
      </c>
      <c r="C266" s="3" t="s">
        <v>581</v>
      </c>
      <c r="D266" s="3">
        <v>1190</v>
      </c>
      <c r="E266" s="3">
        <v>576</v>
      </c>
      <c r="F266" s="3">
        <v>0</v>
      </c>
      <c r="G266" s="3" t="s">
        <v>68</v>
      </c>
      <c r="H266" s="6">
        <f t="shared" si="4"/>
        <v>0.48403361344537815</v>
      </c>
    </row>
    <row r="267" spans="2:8" x14ac:dyDescent="0.25">
      <c r="B267" s="5" t="s">
        <v>582</v>
      </c>
      <c r="C267" s="3" t="s">
        <v>583</v>
      </c>
      <c r="D267" s="3">
        <v>10166</v>
      </c>
      <c r="E267" s="3">
        <v>9222</v>
      </c>
      <c r="F267" s="3">
        <v>0</v>
      </c>
      <c r="G267" s="3" t="s">
        <v>139</v>
      </c>
      <c r="H267" s="6">
        <f t="shared" si="4"/>
        <v>0.90714145189848516</v>
      </c>
    </row>
    <row r="268" spans="2:8" x14ac:dyDescent="0.25">
      <c r="B268" s="5" t="s">
        <v>584</v>
      </c>
      <c r="C268" s="3" t="s">
        <v>585</v>
      </c>
      <c r="D268" s="3">
        <v>1297</v>
      </c>
      <c r="E268" s="3">
        <v>1279</v>
      </c>
      <c r="F268" s="3">
        <v>0</v>
      </c>
      <c r="G268" s="3" t="s">
        <v>139</v>
      </c>
      <c r="H268" s="6">
        <f t="shared" si="4"/>
        <v>0.98612181958365464</v>
      </c>
    </row>
    <row r="269" spans="2:8" x14ac:dyDescent="0.25">
      <c r="B269" s="5" t="s">
        <v>586</v>
      </c>
      <c r="C269" s="3" t="s">
        <v>587</v>
      </c>
      <c r="D269" s="3">
        <v>1946</v>
      </c>
      <c r="E269" s="3">
        <v>1946</v>
      </c>
      <c r="F269" s="3">
        <v>0</v>
      </c>
      <c r="G269" s="3" t="s">
        <v>139</v>
      </c>
      <c r="H269" s="6">
        <f t="shared" si="4"/>
        <v>1</v>
      </c>
    </row>
    <row r="270" spans="2:8" x14ac:dyDescent="0.25">
      <c r="B270" s="5" t="s">
        <v>588</v>
      </c>
      <c r="C270" s="3" t="s">
        <v>589</v>
      </c>
      <c r="D270" s="3">
        <v>1255</v>
      </c>
      <c r="E270" s="3">
        <v>1013</v>
      </c>
      <c r="F270" s="3">
        <v>0</v>
      </c>
      <c r="G270" s="3" t="s">
        <v>139</v>
      </c>
      <c r="H270" s="6">
        <f t="shared" si="4"/>
        <v>0.80717131474103587</v>
      </c>
    </row>
    <row r="271" spans="2:8" x14ac:dyDescent="0.25">
      <c r="B271" s="5" t="s">
        <v>590</v>
      </c>
      <c r="C271" s="3" t="s">
        <v>591</v>
      </c>
      <c r="D271" s="3">
        <v>1056</v>
      </c>
      <c r="E271" s="3">
        <v>747</v>
      </c>
      <c r="F271" s="3">
        <v>0</v>
      </c>
      <c r="G271" s="3" t="s">
        <v>139</v>
      </c>
      <c r="H271" s="6">
        <f t="shared" si="4"/>
        <v>0.70738636363636365</v>
      </c>
    </row>
    <row r="272" spans="2:8" x14ac:dyDescent="0.25">
      <c r="B272" s="5" t="s">
        <v>592</v>
      </c>
      <c r="C272" s="3" t="s">
        <v>593</v>
      </c>
      <c r="D272" s="3">
        <v>39285</v>
      </c>
      <c r="E272" s="3">
        <v>32847</v>
      </c>
      <c r="F272" s="3">
        <v>0</v>
      </c>
      <c r="G272" s="3" t="s">
        <v>139</v>
      </c>
      <c r="H272" s="6">
        <f t="shared" si="4"/>
        <v>0.83612065673921343</v>
      </c>
    </row>
    <row r="273" spans="2:8" x14ac:dyDescent="0.25">
      <c r="B273" s="5" t="s">
        <v>594</v>
      </c>
      <c r="C273" s="3" t="s">
        <v>595</v>
      </c>
      <c r="D273" s="3">
        <v>1136</v>
      </c>
      <c r="E273" s="3">
        <v>858</v>
      </c>
      <c r="F273" s="3">
        <v>0</v>
      </c>
      <c r="G273" s="3" t="s">
        <v>139</v>
      </c>
      <c r="H273" s="6">
        <f t="shared" si="4"/>
        <v>0.75528169014084512</v>
      </c>
    </row>
    <row r="274" spans="2:8" x14ac:dyDescent="0.25">
      <c r="B274" s="5" t="s">
        <v>596</v>
      </c>
      <c r="C274" s="3" t="s">
        <v>597</v>
      </c>
      <c r="D274" s="3">
        <v>1552</v>
      </c>
      <c r="E274" s="3">
        <v>1230</v>
      </c>
      <c r="F274" s="3">
        <v>0</v>
      </c>
      <c r="G274" s="3" t="s">
        <v>68</v>
      </c>
      <c r="H274" s="6">
        <f t="shared" si="4"/>
        <v>0.79252577319587625</v>
      </c>
    </row>
    <row r="275" spans="2:8" x14ac:dyDescent="0.25">
      <c r="B275" s="5" t="s">
        <v>598</v>
      </c>
      <c r="C275" s="3" t="s">
        <v>599</v>
      </c>
      <c r="D275" s="3">
        <v>1266</v>
      </c>
      <c r="E275" s="3">
        <v>1029</v>
      </c>
      <c r="F275" s="3">
        <v>0</v>
      </c>
      <c r="G275" s="3" t="s">
        <v>68</v>
      </c>
      <c r="H275" s="6">
        <f t="shared" si="4"/>
        <v>0.8127962085308057</v>
      </c>
    </row>
    <row r="276" spans="2:8" x14ac:dyDescent="0.25">
      <c r="B276" s="5" t="s">
        <v>600</v>
      </c>
      <c r="C276" s="3" t="s">
        <v>601</v>
      </c>
      <c r="D276" s="3">
        <v>2982</v>
      </c>
      <c r="E276" s="3">
        <v>2287</v>
      </c>
      <c r="F276" s="3">
        <v>0</v>
      </c>
      <c r="G276" s="3" t="s">
        <v>139</v>
      </c>
      <c r="H276" s="6">
        <f t="shared" si="4"/>
        <v>0.76693494299128107</v>
      </c>
    </row>
    <row r="277" spans="2:8" x14ac:dyDescent="0.25">
      <c r="B277" s="5" t="s">
        <v>602</v>
      </c>
      <c r="C277" s="3" t="s">
        <v>603</v>
      </c>
      <c r="D277" s="3">
        <v>1231</v>
      </c>
      <c r="E277" s="3">
        <v>950</v>
      </c>
      <c r="F277" s="3">
        <v>0</v>
      </c>
      <c r="G277" s="3" t="s">
        <v>68</v>
      </c>
      <c r="H277" s="6">
        <f t="shared" si="4"/>
        <v>0.77173030056864333</v>
      </c>
    </row>
    <row r="278" spans="2:8" x14ac:dyDescent="0.25">
      <c r="B278" s="5" t="s">
        <v>604</v>
      </c>
      <c r="C278" s="3" t="s">
        <v>605</v>
      </c>
      <c r="D278" s="3">
        <v>4655</v>
      </c>
      <c r="E278" s="3">
        <v>4644</v>
      </c>
      <c r="F278" s="3">
        <v>0</v>
      </c>
      <c r="G278" s="3" t="s">
        <v>139</v>
      </c>
      <c r="H278" s="6">
        <f t="shared" si="4"/>
        <v>0.99763694951664872</v>
      </c>
    </row>
  </sheetData>
  <mergeCells count="2">
    <mergeCell ref="B2:N3"/>
    <mergeCell ref="B5:N5"/>
  </mergeCells>
  <pageMargins left="0.3" right="0.3" top="0.75" bottom="0.75" header="0.3" footer="0.3"/>
  <pageSetup paperSize="9" scale="55" orientation="landscape" r:id="rId2"/>
  <headerFooter>
    <oddFooter>&amp;CNHS England public aggregate data | Independent analysis | &amp;P of &amp;N</oddFooter>
  </headerFooter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0832-6ADE-466D-9677-9B692BFEBCB4}">
  <sheetPr>
    <pageSetUpPr fitToPage="1"/>
  </sheetPr>
  <dimension ref="B2:N3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19.85546875" style="1" customWidth="1"/>
    <col min="4" max="4" width="17.7109375" style="1" customWidth="1"/>
    <col min="5" max="5" width="28" style="1" customWidth="1"/>
    <col min="6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12</v>
      </c>
      <c r="C8" s="2" t="s">
        <v>610</v>
      </c>
      <c r="D8" s="2" t="s">
        <v>611</v>
      </c>
      <c r="E8" s="2" t="s">
        <v>612</v>
      </c>
    </row>
    <row r="9" spans="2:14" x14ac:dyDescent="0.25">
      <c r="B9" s="5" t="s">
        <v>23</v>
      </c>
      <c r="C9" s="6">
        <f>IFERROR(SUMIFS(NationalData[RTT within18],NationalData[Month],B9)/SUMIFS(NationalData[RTT waiting],NationalData[Month],B9),"")</f>
        <v>0.58507209026845097</v>
      </c>
      <c r="D9" s="6">
        <f>IFERROR(SUMIFS(NationalData[AE within4],NationalData[Month],B9)/SUMIFS(NationalData[AE attendances],NationalData[Month],B9),"")</f>
        <v>0.74217161190615011</v>
      </c>
      <c r="E9" s="6">
        <f>IFERROR(SUMIFS(NationalData[Diagnostic over6],NationalData[Month],B9)/SUMIFS(NationalData[Diagnostic waiting],NationalData[Month],B9),"")</f>
        <v>0.22684582553924423</v>
      </c>
    </row>
    <row r="10" spans="2:14" x14ac:dyDescent="0.25">
      <c r="B10" s="5" t="s">
        <v>24</v>
      </c>
      <c r="C10" s="6">
        <f>IFERROR(SUMIFS(NationalData[RTT within18],NationalData[Month],B10)/SUMIFS(NationalData[RTT waiting],NationalData[Month],B10),"")</f>
        <v>0.58934907193930652</v>
      </c>
      <c r="D10" s="6">
        <f>IFERROR(SUMIFS(NationalData[AE within4],NationalData[Month],B10)/SUMIFS(NationalData[AE attendances],NationalData[Month],B10),"")</f>
        <v>0.73084841747806428</v>
      </c>
      <c r="E10" s="6">
        <f>IFERROR(SUMIFS(NationalData[Diagnostic over6],NationalData[Month],B10)/SUMIFS(NationalData[Diagnostic waiting],NationalData[Month],B10),"")</f>
        <v>0.20699403088686061</v>
      </c>
    </row>
    <row r="11" spans="2:14" x14ac:dyDescent="0.25">
      <c r="B11" s="5" t="s">
        <v>25</v>
      </c>
      <c r="C11" s="6">
        <f>IFERROR(SUMIFS(NationalData[RTT within18],NationalData[Month],B11)/SUMIFS(NationalData[RTT waiting],NationalData[Month],B11),"")</f>
        <v>0.59154808501274159</v>
      </c>
      <c r="D11" s="6">
        <f>IFERROR(SUMIFS(NationalData[AE within4],NationalData[Month],B11)/SUMIFS(NationalData[AE attendances],NationalData[Month],B11),"")</f>
        <v>0.72181574238941026</v>
      </c>
      <c r="E11" s="6">
        <f>IFERROR(SUMIFS(NationalData[Diagnostic over6],NationalData[Month],B11)/SUMIFS(NationalData[Diagnostic waiting],NationalData[Month],B11),"")</f>
        <v>0.19923754830876148</v>
      </c>
    </row>
    <row r="12" spans="2:14" x14ac:dyDescent="0.25">
      <c r="B12" s="5" t="s">
        <v>26</v>
      </c>
      <c r="C12" s="6">
        <f>IFERROR(SUMIFS(NationalData[RTT within18],NationalData[Month],B12)/SUMIFS(NationalData[RTT waiting],NationalData[Month],B12),"")</f>
        <v>0.58937342935260684</v>
      </c>
      <c r="D12" s="6">
        <f>IFERROR(SUMIFS(NationalData[AE within4],NationalData[Month],B12)/SUMIFS(NationalData[AE attendances],NationalData[Month],B12),"")</f>
        <v>0.71121395572083446</v>
      </c>
      <c r="E12" s="6">
        <f>IFERROR(SUMIFS(NationalData[Diagnostic over6],NationalData[Month],B12)/SUMIFS(NationalData[Diagnostic waiting],NationalData[Month],B12),"")</f>
        <v>0.22765849345397127</v>
      </c>
    </row>
    <row r="13" spans="2:14" x14ac:dyDescent="0.25">
      <c r="B13" s="5" t="s">
        <v>27</v>
      </c>
      <c r="C13" s="6">
        <f>IFERROR(SUMIFS(NationalData[RTT within18],NationalData[Month],B13)/SUMIFS(NationalData[RTT waiting],NationalData[Month],B13),"")</f>
        <v>0.58858896377854208</v>
      </c>
      <c r="D13" s="6">
        <f>IFERROR(SUMIFS(NationalData[AE within4],NationalData[Month],B13)/SUMIFS(NationalData[AE attendances],NationalData[Month],B13),"")</f>
        <v>0.73006721878338965</v>
      </c>
      <c r="E13" s="6">
        <f>IFERROR(SUMIFS(NationalData[Diagnostic over6],NationalData[Month],B13)/SUMIFS(NationalData[Diagnostic waiting],NationalData[Month],B13),"")</f>
        <v>0.22431149972819328</v>
      </c>
    </row>
    <row r="14" spans="2:14" x14ac:dyDescent="0.25">
      <c r="B14" s="5" t="s">
        <v>28</v>
      </c>
      <c r="C14" s="6">
        <f>IFERROR(SUMIFS(NationalData[RTT within18],NationalData[Month],B14)/SUMIFS(NationalData[RTT waiting],NationalData[Month],B14),"")</f>
        <v>0.59179306251336783</v>
      </c>
      <c r="D14" s="6">
        <f>IFERROR(SUMIFS(NationalData[AE within4],NationalData[Month],B14)/SUMIFS(NationalData[AE attendances],NationalData[Month],B14),"")</f>
        <v>0.73461343029044512</v>
      </c>
      <c r="E14" s="6">
        <f>IFERROR(SUMIFS(NationalData[Diagnostic over6],NationalData[Month],B14)/SUMIFS(NationalData[Diagnostic waiting],NationalData[Month],B14),"")</f>
        <v>0.17460471942408243</v>
      </c>
    </row>
    <row r="15" spans="2:14" x14ac:dyDescent="0.25">
      <c r="B15" s="5" t="s">
        <v>29</v>
      </c>
      <c r="C15" s="6">
        <f>IFERROR(SUMIFS(NationalData[RTT within18],NationalData[Month],B15)/SUMIFS(NationalData[RTT waiting],NationalData[Month],B15),"")</f>
        <v>0.59778437920480387</v>
      </c>
      <c r="D15" s="6">
        <f>IFERROR(SUMIFS(NationalData[AE within4],NationalData[Month],B15)/SUMIFS(NationalData[AE attendances],NationalData[Month],B15),"")</f>
        <v>0.74979824734707823</v>
      </c>
      <c r="E15" s="6">
        <f>IFERROR(SUMIFS(NationalData[Diagnostic over6],NationalData[Month],B15)/SUMIFS(NationalData[Diagnostic waiting],NationalData[Month],B15),"")</f>
        <v>0.1836864828183318</v>
      </c>
    </row>
    <row r="16" spans="2:14" x14ac:dyDescent="0.25">
      <c r="B16" s="5" t="s">
        <v>30</v>
      </c>
      <c r="C16" s="6">
        <f>IFERROR(SUMIFS(NationalData[RTT within18],NationalData[Month],B16)/SUMIFS(NationalData[RTT waiting],NationalData[Month],B16),"")</f>
        <v>0.59732618403004978</v>
      </c>
      <c r="D16" s="6">
        <f>IFERROR(SUMIFS(NationalData[AE within4],NationalData[Month],B16)/SUMIFS(NationalData[AE attendances],NationalData[Month],B16),"")</f>
        <v>0.74783811935209088</v>
      </c>
      <c r="E16" s="6">
        <f>IFERROR(SUMIFS(NationalData[Diagnostic over6],NationalData[Month],B16)/SUMIFS(NationalData[Diagnostic waiting],NationalData[Month],B16),"")</f>
        <v>0.21254946861605309</v>
      </c>
    </row>
    <row r="17" spans="2:5" x14ac:dyDescent="0.25">
      <c r="B17" s="5" t="s">
        <v>31</v>
      </c>
      <c r="C17" s="6">
        <f>IFERROR(SUMIFS(NationalData[RTT within18],NationalData[Month],B17)/SUMIFS(NationalData[RTT waiting],NationalData[Month],B17),"")</f>
        <v>0.60931300511830555</v>
      </c>
      <c r="D17" s="6">
        <f>IFERROR(SUMIFS(NationalData[AE within4],NationalData[Month],B17)/SUMIFS(NationalData[AE attendances],NationalData[Month],B17),"")</f>
        <v>0.75402383036868381</v>
      </c>
      <c r="E17" s="6">
        <f>IFERROR(SUMIFS(NationalData[Diagnostic over6],NationalData[Month],B17)/SUMIFS(NationalData[Diagnostic waiting],NationalData[Month],B17),"")</f>
        <v>0.22049332899750224</v>
      </c>
    </row>
    <row r="18" spans="2:5" x14ac:dyDescent="0.25">
      <c r="B18" s="5" t="s">
        <v>32</v>
      </c>
      <c r="C18" s="6">
        <f>IFERROR(SUMIFS(NationalData[RTT within18],NationalData[Month],B18)/SUMIFS(NationalData[RTT waiting],NationalData[Month],B18),"")</f>
        <v>0.61525120808877942</v>
      </c>
      <c r="D18" s="6">
        <f>IFERROR(SUMIFS(NationalData[AE within4],NationalData[Month],B18)/SUMIFS(NationalData[AE attendances],NationalData[Month],B18),"")</f>
        <v>0.7555648731640543</v>
      </c>
      <c r="E18" s="6">
        <f>IFERROR(SUMIFS(NationalData[Diagnostic over6],NationalData[Month],B18)/SUMIFS(NationalData[Diagnostic waiting],NationalData[Month],B18),"")</f>
        <v>0.21323519265531785</v>
      </c>
    </row>
    <row r="19" spans="2:5" x14ac:dyDescent="0.25">
      <c r="B19" s="5" t="s">
        <v>33</v>
      </c>
      <c r="C19" s="6">
        <f>IFERROR(SUMIFS(NationalData[RTT within18],NationalData[Month],B19)/SUMIFS(NationalData[RTT waiting],NationalData[Month],B19),"")</f>
        <v>0.61220097539081597</v>
      </c>
      <c r="D19" s="6">
        <f>IFERROR(SUMIFS(NationalData[AE within4],NationalData[Month],B19)/SUMIFS(NationalData[AE attendances],NationalData[Month],B19),"")</f>
        <v>0.76407820111205849</v>
      </c>
      <c r="E19" s="6">
        <f>IFERROR(SUMIFS(NationalData[Diagnostic over6],NationalData[Month],B19)/SUMIFS(NationalData[Diagnostic waiting],NationalData[Month],B19),"")</f>
        <v>0.2186951327648097</v>
      </c>
    </row>
    <row r="20" spans="2:5" x14ac:dyDescent="0.25">
      <c r="B20" s="5" t="s">
        <v>34</v>
      </c>
      <c r="C20" s="6">
        <f>IFERROR(SUMIFS(NationalData[RTT within18],NationalData[Month],B20)/SUMIFS(NationalData[RTT waiting],NationalData[Month],B20),"")</f>
        <v>0.6097151178088156</v>
      </c>
      <c r="D20" s="6">
        <f>IFERROR(SUMIFS(NationalData[AE within4],NationalData[Month],B20)/SUMIFS(NationalData[AE attendances],NationalData[Month],B20),"")</f>
        <v>0.75876215351375009</v>
      </c>
      <c r="E20" s="6">
        <f>IFERROR(SUMIFS(NationalData[Diagnostic over6],NationalData[Month],B20)/SUMIFS(NationalData[Diagnostic waiting],NationalData[Month],B20),"")</f>
        <v>0.2403982060181061</v>
      </c>
    </row>
    <row r="21" spans="2:5" x14ac:dyDescent="0.25">
      <c r="B21" s="5" t="s">
        <v>35</v>
      </c>
      <c r="C21" s="6">
        <f>IFERROR(SUMIFS(NationalData[RTT within18],NationalData[Month],B21)/SUMIFS(NationalData[RTT waiting],NationalData[Month],B21),"")</f>
        <v>0.61747979585283763</v>
      </c>
      <c r="D21" s="6">
        <f>IFERROR(SUMIFS(NationalData[AE within4],NationalData[Month],B21)/SUMIFS(NationalData[AE attendances],NationalData[Month],B21),"")</f>
        <v>0.75050406411158754</v>
      </c>
      <c r="E21" s="6">
        <f>IFERROR(SUMIFS(NationalData[Diagnostic over6],NationalData[Month],B21)/SUMIFS(NationalData[Diagnostic waiting],NationalData[Month],B21),"")</f>
        <v>0.22397517387499424</v>
      </c>
    </row>
    <row r="22" spans="2:5" x14ac:dyDescent="0.25">
      <c r="B22" s="5" t="s">
        <v>36</v>
      </c>
      <c r="C22" s="6">
        <f>IFERROR(SUMIFS(NationalData[RTT within18],NationalData[Month],B22)/SUMIFS(NationalData[RTT waiting],NationalData[Month],B22),"")</f>
        <v>0.61704057767398957</v>
      </c>
      <c r="D22" s="6">
        <f>IFERROR(SUMIFS(NationalData[AE within4],NationalData[Month],B22)/SUMIFS(NationalData[AE attendances],NationalData[Month],B22),"")</f>
        <v>0.74185533797588443</v>
      </c>
      <c r="E22" s="6">
        <f>IFERROR(SUMIFS(NationalData[Diagnostic over6],NationalData[Month],B22)/SUMIFS(NationalData[Diagnostic waiting],NationalData[Month],B22),"")</f>
        <v>0.21280628243658409</v>
      </c>
    </row>
    <row r="23" spans="2:5" x14ac:dyDescent="0.25">
      <c r="B23" s="5" t="s">
        <v>37</v>
      </c>
      <c r="C23" s="6">
        <f>IFERROR(SUMIFS(NationalData[RTT within18],NationalData[Month],B23)/SUMIFS(NationalData[RTT waiting],NationalData[Month],B23),"")</f>
        <v>0.61640673780313204</v>
      </c>
      <c r="D23" s="6">
        <f>IFERROR(SUMIFS(NationalData[AE within4],NationalData[Month],B23)/SUMIFS(NationalData[AE attendances],NationalData[Month],B23),"")</f>
        <v>0.74216951862042757</v>
      </c>
      <c r="E23" s="6">
        <f>IFERROR(SUMIFS(NationalData[Diagnostic over6],NationalData[Month],B23)/SUMIFS(NationalData[Diagnostic waiting],NationalData[Month],B23),"")</f>
        <v>0.21725557207294063</v>
      </c>
    </row>
    <row r="24" spans="2:5" x14ac:dyDescent="0.25">
      <c r="B24" s="5" t="s">
        <v>38</v>
      </c>
      <c r="C24" s="6">
        <f>IFERROR(SUMIFS(NationalData[RTT within18],NationalData[Month],B24)/SUMIFS(NationalData[RTT waiting],NationalData[Month],B24),"")</f>
        <v>0.61450528527600889</v>
      </c>
      <c r="D24" s="6">
        <f>IFERROR(SUMIFS(NationalData[AE within4],NationalData[Month],B24)/SUMIFS(NationalData[AE attendances],NationalData[Month],B24),"")</f>
        <v>0.73841846940359113</v>
      </c>
      <c r="E24" s="6">
        <f>IFERROR(SUMIFS(NationalData[Diagnostic over6],NationalData[Month],B24)/SUMIFS(NationalData[Diagnostic waiting],NationalData[Month],B24),"")</f>
        <v>0.24779289566145693</v>
      </c>
    </row>
    <row r="25" spans="2:5" x14ac:dyDescent="0.25">
      <c r="B25" s="5" t="s">
        <v>39</v>
      </c>
      <c r="C25" s="6">
        <f>IFERROR(SUMIFS(NationalData[RTT within18],NationalData[Month],B25)/SUMIFS(NationalData[RTT waiting],NationalData[Month],B25),"")</f>
        <v>0.61430740649959092</v>
      </c>
      <c r="D25" s="6">
        <f>IFERROR(SUMIFS(NationalData[AE within4],NationalData[Month],B25)/SUMIFS(NationalData[AE attendances],NationalData[Month],B25),"")</f>
        <v>0.72451209332487099</v>
      </c>
      <c r="E25" s="6">
        <f>IFERROR(SUMIFS(NationalData[Diagnostic over6],NationalData[Month],B25)/SUMIFS(NationalData[Diagnostic waiting],NationalData[Month],B25),"")</f>
        <v>0.24670420308584326</v>
      </c>
    </row>
    <row r="26" spans="2:5" x14ac:dyDescent="0.25">
      <c r="B26" s="5" t="s">
        <v>40</v>
      </c>
      <c r="C26" s="6">
        <f>IFERROR(SUMIFS(NationalData[RTT within18],NationalData[Month],B26)/SUMIFS(NationalData[RTT waiting],NationalData[Month],B26),"")</f>
        <v>0.62544435387073483</v>
      </c>
      <c r="D26" s="6">
        <f>IFERROR(SUMIFS(NationalData[AE within4],NationalData[Month],B26)/SUMIFS(NationalData[AE attendances],NationalData[Month],B26),"")</f>
        <v>0.74055302368414844</v>
      </c>
      <c r="E26" s="6">
        <f>IFERROR(SUMIFS(NationalData[Diagnostic over6],NationalData[Month],B26)/SUMIFS(NationalData[Diagnostic waiting],NationalData[Month],B26),"")</f>
        <v>0.20252732477979937</v>
      </c>
    </row>
    <row r="27" spans="2:5" x14ac:dyDescent="0.25">
      <c r="B27" s="5" t="s">
        <v>41</v>
      </c>
      <c r="C27" s="6">
        <f>IFERROR(SUMIFS(NationalData[RTT within18],NationalData[Month],B27)/SUMIFS(NationalData[RTT waiting],NationalData[Month],B27),"")</f>
        <v>0.65294764595318355</v>
      </c>
      <c r="D27" s="6">
        <f>IFERROR(SUMIFS(NationalData[AE within4],NationalData[Month],B27)/SUMIFS(NationalData[AE attendances],NationalData[Month],B27),"")</f>
        <v>0.77111482597341086</v>
      </c>
      <c r="E27" s="6">
        <f>IFERROR(SUMIFS(NationalData[Diagnostic over6],NationalData[Month],B27)/SUMIFS(NationalData[Diagnostic waiting],NationalData[Month],B27),"")</f>
        <v>0.21190064021444768</v>
      </c>
    </row>
    <row r="28" spans="2:5" x14ac:dyDescent="0.25">
      <c r="B28" s="5" t="s">
        <v>42</v>
      </c>
      <c r="C28" s="6">
        <f>IFERROR(SUMIFS(NationalData[RTT within18],NationalData[Month],B28)/SUMIFS(NationalData[RTT waiting],NationalData[Month],B28),"")</f>
        <v>0.64949329682292334</v>
      </c>
      <c r="D28" s="6">
        <f>IFERROR(SUMIFS(NationalData[AE within4],NationalData[Month],B28)/SUMIFS(NationalData[AE attendances],NationalData[Month],B28),"")</f>
        <v>0.76909764045897189</v>
      </c>
      <c r="E28" s="6">
        <f>IFERROR(SUMIFS(NationalData[Diagnostic over6],NationalData[Month],B28)/SUMIFS(NationalData[Diagnostic waiting],NationalData[Month],B28),"")</f>
        <v>0.2487865147350318</v>
      </c>
    </row>
    <row r="29" spans="2:5" x14ac:dyDescent="0.25">
      <c r="B29" s="5" t="s">
        <v>43</v>
      </c>
      <c r="C29" s="6">
        <f>IFERROR(SUMIFS(NationalData[RTT within18],NationalData[Month],B29)/SUMIFS(NationalData[RTT waiting],NationalData[Month],B29),"")</f>
        <v>0.65555314031778156</v>
      </c>
      <c r="D29" s="6">
        <f>IFERROR(SUMIFS(NationalData[AE within4],NationalData[Month],B29)/SUMIFS(NationalData[AE attendances],NationalData[Month],B29),"")</f>
        <v>0.7569286700811183</v>
      </c>
      <c r="E29" s="6">
        <f>IFERROR(SUMIFS(NationalData[Diagnostic over6],NationalData[Month],B29)/SUMIFS(NationalData[Diagnostic waiting],NationalData[Month],B29),"")</f>
        <v>0.23941833222078246</v>
      </c>
    </row>
    <row r="30" spans="2:5" x14ac:dyDescent="0.25">
      <c r="B30" s="5" t="s">
        <v>44</v>
      </c>
      <c r="C30" s="6">
        <f>IFERROR(SUMIFS(NationalData[RTT within18],NationalData[Month],B30)/SUMIFS(NationalData[RTT waiting],NationalData[Month],B30),"")</f>
        <v>0.65825829842399408</v>
      </c>
      <c r="D30" s="6">
        <f>IFERROR(SUMIFS(NationalData[AE within4],NationalData[Month],B30)/SUMIFS(NationalData[AE attendances],NationalData[Month],B30),"")</f>
        <v>0.75022950023503776</v>
      </c>
      <c r="E30" s="6">
        <f>IFERROR(SUMIFS(NationalData[Diagnostic over6],NationalData[Month],B30)/SUMIFS(NationalData[Diagnostic waiting],NationalData[Month],B30),"")</f>
        <v>0.23295808569319815</v>
      </c>
    </row>
    <row r="31" spans="2:5" x14ac:dyDescent="0.25">
      <c r="B31" s="5" t="s">
        <v>45</v>
      </c>
      <c r="C31" s="6">
        <f>IFERROR(SUMIFS(NationalData[RTT within18],NationalData[Month],B31)/SUMIFS(NationalData[RTT waiting],NationalData[Month],B31),"")</f>
        <v>0.65300963236598364</v>
      </c>
      <c r="D31" s="6">
        <f>IFERROR(SUMIFS(NationalData[AE within4],NationalData[Month],B31)/SUMIFS(NationalData[AE attendances],NationalData[Month],B31),"")</f>
        <v>0.75374500518576282</v>
      </c>
      <c r="E31" s="6">
        <f>IFERROR(SUMIFS(NationalData[Diagnostic over6],NationalData[Month],B31)/SUMIFS(NationalData[Diagnostic waiting],NationalData[Month],B31),"")</f>
        <v>0.23132591701587343</v>
      </c>
    </row>
    <row r="32" spans="2:5" x14ac:dyDescent="0.25">
      <c r="B32" s="5" t="s">
        <v>46</v>
      </c>
      <c r="C32" s="6">
        <f>IFERROR(SUMIFS(NationalData[RTT within18],NationalData[Month],B32)/SUMIFS(NationalData[RTT waiting],NationalData[Month],B32),"")</f>
        <v>0.65206022102874428</v>
      </c>
      <c r="D32" s="6">
        <f>IFERROR(SUMIFS(NationalData[AE within4],NationalData[Month],B32)/SUMIFS(NationalData[AE attendances],NationalData[Month],B32),"")</f>
        <v>0.75041518012052277</v>
      </c>
      <c r="E32" s="6">
        <f>IFERROR(SUMIFS(NationalData[Diagnostic over6],NationalData[Month],B32)/SUMIFS(NationalData[Diagnostic waiting],NationalData[Month],B32),"")</f>
        <v>0.24674780559389439</v>
      </c>
    </row>
    <row r="33" spans="2:5" x14ac:dyDescent="0.25">
      <c r="B33" s="5" t="s">
        <v>47</v>
      </c>
      <c r="C33" s="6" t="str">
        <f>IFERROR(SUMIFS(NationalData[RTT within18],NationalData[Month],B33)/SUMIFS(NationalData[RTT waiting],NationalData[Month],B33),"")</f>
        <v/>
      </c>
      <c r="D33" s="6">
        <f>IFERROR(SUMIFS(NationalData[AE within4],NationalData[Month],B33)/SUMIFS(NationalData[AE attendances],NationalData[Month],B33),"")</f>
        <v>0.7436331753480836</v>
      </c>
      <c r="E33" s="6" t="str">
        <f>IFERROR(SUMIFS(NationalData[Diagnostic over6],NationalData[Month],B33)/SUMIFS(NationalData[Diagnostic waiting],NationalData[Month],B33),"")</f>
        <v/>
      </c>
    </row>
  </sheetData>
  <mergeCells count="2">
    <mergeCell ref="B2:N3"/>
    <mergeCell ref="B5:N5"/>
  </mergeCells>
  <pageMargins left="0.3" right="0.3" top="0.75" bottom="0.75" header="0.3" footer="0.3"/>
  <pageSetup paperSize="9" scale="67" orientation="landscape" r:id="rId1"/>
  <headerFooter>
    <oddFooter>&amp;CNHS England public aggregate data | Independent analysis | &amp;P of &amp;N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28C-FC7A-4D59-939B-2EED48D4ACE3}">
  <sheetPr>
    <pageSetUpPr fitToPage="1"/>
  </sheetPr>
  <dimension ref="B2:N28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25.7109375" style="1" customWidth="1"/>
    <col min="3" max="3" width="55.7109375" style="1" customWidth="1"/>
    <col min="4" max="4" width="17.7109375" style="1" customWidth="1"/>
    <col min="5" max="5" width="40.7109375" style="1" customWidth="1"/>
    <col min="6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615</v>
      </c>
      <c r="C8" s="2" t="s">
        <v>616</v>
      </c>
      <c r="D8" s="2" t="s">
        <v>50</v>
      </c>
      <c r="E8" s="2" t="s">
        <v>62</v>
      </c>
    </row>
    <row r="9" spans="2:14" x14ac:dyDescent="0.25">
      <c r="B9" s="5" t="s">
        <v>63</v>
      </c>
      <c r="C9" s="3" t="s">
        <v>64</v>
      </c>
      <c r="D9" s="3">
        <v>13426</v>
      </c>
      <c r="E9" s="3" t="s">
        <v>65</v>
      </c>
    </row>
    <row r="10" spans="2:14" x14ac:dyDescent="0.25">
      <c r="B10" s="5" t="s">
        <v>66</v>
      </c>
      <c r="C10" s="3" t="s">
        <v>67</v>
      </c>
      <c r="D10" s="3">
        <v>5634</v>
      </c>
      <c r="E10" s="3" t="s">
        <v>68</v>
      </c>
    </row>
    <row r="11" spans="2:14" x14ac:dyDescent="0.25">
      <c r="B11" s="5" t="s">
        <v>69</v>
      </c>
      <c r="C11" s="3" t="s">
        <v>70</v>
      </c>
      <c r="D11" s="3">
        <v>3928</v>
      </c>
      <c r="E11" s="3" t="s">
        <v>68</v>
      </c>
    </row>
    <row r="12" spans="2:14" x14ac:dyDescent="0.25">
      <c r="B12" s="5" t="s">
        <v>71</v>
      </c>
      <c r="C12" s="3" t="s">
        <v>72</v>
      </c>
      <c r="D12" s="3">
        <v>3500</v>
      </c>
      <c r="E12" s="3" t="s">
        <v>68</v>
      </c>
    </row>
    <row r="13" spans="2:14" x14ac:dyDescent="0.25">
      <c r="B13" s="5" t="s">
        <v>73</v>
      </c>
      <c r="C13" s="3" t="s">
        <v>74</v>
      </c>
      <c r="D13" s="3">
        <v>2623</v>
      </c>
      <c r="E13" s="3" t="s">
        <v>65</v>
      </c>
    </row>
    <row r="14" spans="2:14" x14ac:dyDescent="0.25">
      <c r="B14" s="5" t="s">
        <v>75</v>
      </c>
      <c r="C14" s="3" t="s">
        <v>76</v>
      </c>
      <c r="D14" s="3">
        <v>2454</v>
      </c>
      <c r="E14" s="3" t="s">
        <v>65</v>
      </c>
    </row>
    <row r="15" spans="2:14" x14ac:dyDescent="0.25">
      <c r="B15" s="5" t="s">
        <v>77</v>
      </c>
      <c r="C15" s="3" t="s">
        <v>78</v>
      </c>
      <c r="D15" s="3">
        <v>2404</v>
      </c>
      <c r="E15" s="3" t="s">
        <v>65</v>
      </c>
    </row>
    <row r="16" spans="2:14" x14ac:dyDescent="0.25">
      <c r="B16" s="5" t="s">
        <v>79</v>
      </c>
      <c r="C16" s="3" t="s">
        <v>80</v>
      </c>
      <c r="D16" s="3">
        <v>2176</v>
      </c>
      <c r="E16" s="3" t="s">
        <v>65</v>
      </c>
    </row>
    <row r="17" spans="2:14" x14ac:dyDescent="0.25">
      <c r="B17" s="5" t="s">
        <v>81</v>
      </c>
      <c r="C17" s="3" t="s">
        <v>82</v>
      </c>
      <c r="D17" s="3">
        <v>2173</v>
      </c>
      <c r="E17" s="3" t="s">
        <v>65</v>
      </c>
    </row>
    <row r="18" spans="2:14" x14ac:dyDescent="0.25">
      <c r="B18" s="5" t="s">
        <v>83</v>
      </c>
      <c r="C18" s="3" t="s">
        <v>84</v>
      </c>
      <c r="D18" s="3">
        <v>2004</v>
      </c>
      <c r="E18" s="3" t="s">
        <v>65</v>
      </c>
    </row>
    <row r="19" spans="2:14" x14ac:dyDescent="0.25">
      <c r="B19" s="5" t="s">
        <v>85</v>
      </c>
      <c r="C19" s="3" t="s">
        <v>86</v>
      </c>
      <c r="D19" s="3">
        <v>1863</v>
      </c>
      <c r="E19" s="3" t="s">
        <v>65</v>
      </c>
    </row>
    <row r="20" spans="2:14" x14ac:dyDescent="0.25">
      <c r="B20" s="5" t="s">
        <v>87</v>
      </c>
      <c r="C20" s="3" t="s">
        <v>88</v>
      </c>
      <c r="D20" s="3">
        <v>1802</v>
      </c>
      <c r="E20" s="3" t="s">
        <v>65</v>
      </c>
    </row>
    <row r="21" spans="2:14" x14ac:dyDescent="0.25">
      <c r="B21" s="5" t="s">
        <v>89</v>
      </c>
      <c r="C21" s="3" t="s">
        <v>90</v>
      </c>
      <c r="D21" s="3">
        <v>1752</v>
      </c>
      <c r="E21" s="3" t="s">
        <v>68</v>
      </c>
    </row>
    <row r="22" spans="2:14" x14ac:dyDescent="0.25">
      <c r="B22" s="5" t="s">
        <v>91</v>
      </c>
      <c r="C22" s="3" t="s">
        <v>92</v>
      </c>
      <c r="D22" s="3">
        <v>1735</v>
      </c>
      <c r="E22" s="3" t="s">
        <v>68</v>
      </c>
    </row>
    <row r="23" spans="2:14" x14ac:dyDescent="0.25">
      <c r="B23" s="5" t="s">
        <v>93</v>
      </c>
      <c r="C23" s="3" t="s">
        <v>94</v>
      </c>
      <c r="D23" s="3">
        <v>1702</v>
      </c>
      <c r="E23" s="3" t="s">
        <v>68</v>
      </c>
    </row>
    <row r="26" spans="2:14" x14ac:dyDescent="0.25">
      <c r="B26" s="16" t="s">
        <v>617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2:14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2:14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</sheetData>
  <mergeCells count="3">
    <mergeCell ref="B2:N3"/>
    <mergeCell ref="B5:N5"/>
    <mergeCell ref="B26:N28"/>
  </mergeCells>
  <pageMargins left="0.3" right="0.3" top="0.75" bottom="0.75" header="0.3" footer="0.3"/>
  <pageSetup paperSize="9" scale="54" orientation="landscape" r:id="rId1"/>
  <headerFooter>
    <oddFooter>&amp;CNHS England public aggregate data | Independent analysis |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AA22-4BD1-4D35-896D-1B3A9559329F}">
  <sheetPr>
    <pageSetUpPr fitToPage="1"/>
  </sheetPr>
  <dimension ref="B2:N41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6" width="35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618</v>
      </c>
      <c r="C8" s="2" t="s">
        <v>619</v>
      </c>
      <c r="D8" s="2" t="s">
        <v>620</v>
      </c>
      <c r="E8" s="2" t="s">
        <v>621</v>
      </c>
      <c r="F8" s="2" t="s">
        <v>622</v>
      </c>
    </row>
    <row r="9" spans="2:14" ht="65.099999999999994" customHeight="1" x14ac:dyDescent="0.25">
      <c r="B9" s="4" t="s">
        <v>623</v>
      </c>
      <c r="C9" s="2" t="s">
        <v>624</v>
      </c>
      <c r="D9" s="2" t="s">
        <v>625</v>
      </c>
      <c r="E9" s="2" t="s">
        <v>626</v>
      </c>
      <c r="F9" s="2" t="s">
        <v>627</v>
      </c>
    </row>
    <row r="10" spans="2:14" ht="65.099999999999994" customHeight="1" x14ac:dyDescent="0.25">
      <c r="B10" s="4" t="s">
        <v>628</v>
      </c>
      <c r="C10" s="2" t="s">
        <v>629</v>
      </c>
      <c r="D10" s="2" t="s">
        <v>630</v>
      </c>
      <c r="E10" s="2" t="s">
        <v>626</v>
      </c>
      <c r="F10" s="2" t="s">
        <v>627</v>
      </c>
    </row>
    <row r="11" spans="2:14" ht="65.099999999999994" customHeight="1" x14ac:dyDescent="0.25">
      <c r="B11" s="4" t="s">
        <v>631</v>
      </c>
      <c r="C11" s="2" t="s">
        <v>632</v>
      </c>
      <c r="D11" s="2" t="s">
        <v>633</v>
      </c>
      <c r="E11" s="2" t="s">
        <v>626</v>
      </c>
      <c r="F11" s="2" t="s">
        <v>627</v>
      </c>
    </row>
    <row r="12" spans="2:14" ht="65.099999999999994" customHeight="1" x14ac:dyDescent="0.25">
      <c r="B12" s="4" t="s">
        <v>634</v>
      </c>
      <c r="C12" s="2" t="s">
        <v>635</v>
      </c>
      <c r="D12" s="2" t="s">
        <v>636</v>
      </c>
      <c r="E12" s="2" t="s">
        <v>626</v>
      </c>
      <c r="F12" s="2" t="s">
        <v>627</v>
      </c>
    </row>
    <row r="13" spans="2:14" ht="65.099999999999994" customHeight="1" x14ac:dyDescent="0.25">
      <c r="B13" s="4" t="s">
        <v>637</v>
      </c>
      <c r="C13" s="2" t="s">
        <v>638</v>
      </c>
      <c r="D13" s="2" t="s">
        <v>639</v>
      </c>
      <c r="E13" s="2" t="s">
        <v>626</v>
      </c>
      <c r="F13" s="2" t="s">
        <v>627</v>
      </c>
    </row>
    <row r="14" spans="2:14" ht="65.099999999999994" customHeight="1" x14ac:dyDescent="0.25">
      <c r="B14" s="4" t="s">
        <v>640</v>
      </c>
      <c r="C14" s="2" t="s">
        <v>641</v>
      </c>
      <c r="D14" s="2" t="s">
        <v>642</v>
      </c>
      <c r="E14" s="2" t="s">
        <v>626</v>
      </c>
      <c r="F14" s="2" t="s">
        <v>627</v>
      </c>
    </row>
    <row r="15" spans="2:14" ht="65.099999999999994" customHeight="1" x14ac:dyDescent="0.25">
      <c r="B15" s="4" t="s">
        <v>643</v>
      </c>
      <c r="C15" s="2" t="s">
        <v>644</v>
      </c>
      <c r="D15" s="2" t="s">
        <v>645</v>
      </c>
      <c r="E15" s="2" t="s">
        <v>626</v>
      </c>
      <c r="F15" s="2" t="s">
        <v>627</v>
      </c>
    </row>
    <row r="16" spans="2:14" ht="65.099999999999994" customHeight="1" x14ac:dyDescent="0.25">
      <c r="B16" s="4" t="s">
        <v>646</v>
      </c>
      <c r="C16" s="2" t="s">
        <v>647</v>
      </c>
      <c r="D16" s="2" t="s">
        <v>630</v>
      </c>
      <c r="E16" s="2" t="s">
        <v>625</v>
      </c>
      <c r="F16" s="2" t="s">
        <v>648</v>
      </c>
    </row>
    <row r="17" spans="2:6" ht="65.099999999999994" customHeight="1" x14ac:dyDescent="0.25">
      <c r="B17" s="4" t="s">
        <v>649</v>
      </c>
      <c r="C17" s="2" t="s">
        <v>650</v>
      </c>
      <c r="D17" s="2" t="s">
        <v>636</v>
      </c>
      <c r="E17" s="2" t="s">
        <v>625</v>
      </c>
      <c r="F17" s="2" t="s">
        <v>651</v>
      </c>
    </row>
    <row r="18" spans="2:6" ht="65.099999999999994" customHeight="1" x14ac:dyDescent="0.25">
      <c r="B18" s="4" t="s">
        <v>652</v>
      </c>
      <c r="C18" s="2" t="s">
        <v>653</v>
      </c>
      <c r="D18" s="2" t="s">
        <v>654</v>
      </c>
      <c r="E18" s="2" t="s">
        <v>626</v>
      </c>
      <c r="F18" s="2" t="s">
        <v>655</v>
      </c>
    </row>
    <row r="19" spans="2:6" ht="65.099999999999994" customHeight="1" x14ac:dyDescent="0.25">
      <c r="B19" s="4" t="s">
        <v>656</v>
      </c>
      <c r="C19" s="2" t="s">
        <v>653</v>
      </c>
      <c r="D19" s="2" t="s">
        <v>654</v>
      </c>
      <c r="E19" s="2" t="s">
        <v>626</v>
      </c>
      <c r="F19" s="2" t="s">
        <v>655</v>
      </c>
    </row>
    <row r="20" spans="2:6" ht="65.099999999999994" customHeight="1" x14ac:dyDescent="0.25">
      <c r="B20" s="4" t="s">
        <v>657</v>
      </c>
      <c r="C20" s="2" t="s">
        <v>658</v>
      </c>
      <c r="D20" s="2" t="s">
        <v>659</v>
      </c>
      <c r="E20" s="2" t="s">
        <v>626</v>
      </c>
      <c r="F20" s="2" t="s">
        <v>660</v>
      </c>
    </row>
    <row r="21" spans="2:6" ht="65.099999999999994" customHeight="1" x14ac:dyDescent="0.25">
      <c r="B21" s="4" t="s">
        <v>661</v>
      </c>
      <c r="C21" s="2" t="s">
        <v>662</v>
      </c>
      <c r="D21" s="2" t="s">
        <v>663</v>
      </c>
      <c r="E21" s="2" t="s">
        <v>626</v>
      </c>
      <c r="F21" s="2" t="s">
        <v>664</v>
      </c>
    </row>
    <row r="22" spans="2:6" ht="65.099999999999994" customHeight="1" x14ac:dyDescent="0.25">
      <c r="B22" s="4" t="s">
        <v>665</v>
      </c>
      <c r="C22" s="2" t="s">
        <v>666</v>
      </c>
      <c r="D22" s="2" t="s">
        <v>667</v>
      </c>
      <c r="E22" s="2" t="s">
        <v>626</v>
      </c>
      <c r="F22" s="2" t="s">
        <v>664</v>
      </c>
    </row>
    <row r="23" spans="2:6" ht="65.099999999999994" customHeight="1" x14ac:dyDescent="0.25">
      <c r="B23" s="4" t="s">
        <v>668</v>
      </c>
      <c r="C23" s="2" t="s">
        <v>669</v>
      </c>
      <c r="D23" s="2" t="s">
        <v>670</v>
      </c>
      <c r="E23" s="2" t="s">
        <v>626</v>
      </c>
      <c r="F23" s="2" t="s">
        <v>664</v>
      </c>
    </row>
    <row r="24" spans="2:6" ht="65.099999999999994" customHeight="1" x14ac:dyDescent="0.25">
      <c r="B24" s="4" t="s">
        <v>671</v>
      </c>
      <c r="C24" s="2" t="s">
        <v>672</v>
      </c>
      <c r="D24" s="2" t="s">
        <v>673</v>
      </c>
      <c r="E24" s="2" t="s">
        <v>626</v>
      </c>
      <c r="F24" s="2" t="s">
        <v>664</v>
      </c>
    </row>
    <row r="25" spans="2:6" ht="65.099999999999994" customHeight="1" x14ac:dyDescent="0.25">
      <c r="B25" s="4" t="s">
        <v>18</v>
      </c>
      <c r="C25" s="2" t="s">
        <v>674</v>
      </c>
      <c r="D25" s="2" t="s">
        <v>675</v>
      </c>
      <c r="E25" s="2" t="s">
        <v>626</v>
      </c>
      <c r="F25" s="2" t="s">
        <v>664</v>
      </c>
    </row>
    <row r="26" spans="2:6" ht="65.099999999999994" customHeight="1" x14ac:dyDescent="0.25">
      <c r="B26" s="4" t="s">
        <v>676</v>
      </c>
      <c r="C26" s="2" t="s">
        <v>677</v>
      </c>
      <c r="D26" s="2" t="s">
        <v>678</v>
      </c>
      <c r="E26" s="2" t="s">
        <v>626</v>
      </c>
      <c r="F26" s="2" t="s">
        <v>664</v>
      </c>
    </row>
    <row r="27" spans="2:6" ht="65.099999999999994" customHeight="1" x14ac:dyDescent="0.25">
      <c r="B27" s="4" t="s">
        <v>679</v>
      </c>
      <c r="C27" s="2" t="s">
        <v>680</v>
      </c>
      <c r="D27" s="2" t="s">
        <v>681</v>
      </c>
      <c r="E27" s="2" t="s">
        <v>626</v>
      </c>
      <c r="F27" s="2" t="s">
        <v>664</v>
      </c>
    </row>
    <row r="28" spans="2:6" ht="65.099999999999994" customHeight="1" x14ac:dyDescent="0.25">
      <c r="B28" s="4" t="s">
        <v>682</v>
      </c>
      <c r="C28" s="2" t="s">
        <v>683</v>
      </c>
      <c r="D28" s="2" t="s">
        <v>684</v>
      </c>
      <c r="E28" s="2" t="s">
        <v>626</v>
      </c>
      <c r="F28" s="2" t="s">
        <v>664</v>
      </c>
    </row>
    <row r="29" spans="2:6" ht="65.099999999999994" customHeight="1" x14ac:dyDescent="0.25">
      <c r="B29" s="4" t="s">
        <v>685</v>
      </c>
      <c r="C29" s="2" t="s">
        <v>686</v>
      </c>
      <c r="D29" s="2" t="s">
        <v>667</v>
      </c>
      <c r="E29" s="2" t="s">
        <v>663</v>
      </c>
      <c r="F29" s="2" t="s">
        <v>687</v>
      </c>
    </row>
    <row r="30" spans="2:6" ht="65.099999999999994" customHeight="1" x14ac:dyDescent="0.25">
      <c r="B30" s="4" t="s">
        <v>688</v>
      </c>
      <c r="C30" s="2" t="s">
        <v>689</v>
      </c>
      <c r="D30" s="2" t="s">
        <v>690</v>
      </c>
      <c r="E30" s="2" t="s">
        <v>673</v>
      </c>
      <c r="F30" s="2" t="s">
        <v>691</v>
      </c>
    </row>
    <row r="31" spans="2:6" ht="65.099999999999994" customHeight="1" x14ac:dyDescent="0.25">
      <c r="B31" s="4" t="s">
        <v>692</v>
      </c>
      <c r="C31" s="2" t="s">
        <v>693</v>
      </c>
      <c r="D31" s="2" t="s">
        <v>625</v>
      </c>
      <c r="E31" s="2" t="s">
        <v>626</v>
      </c>
      <c r="F31" s="2" t="s">
        <v>694</v>
      </c>
    </row>
    <row r="32" spans="2:6" ht="65.099999999999994" customHeight="1" x14ac:dyDescent="0.25">
      <c r="B32" s="4" t="s">
        <v>695</v>
      </c>
      <c r="C32" s="2" t="s">
        <v>696</v>
      </c>
      <c r="D32" s="2" t="s">
        <v>697</v>
      </c>
      <c r="E32" s="2" t="s">
        <v>626</v>
      </c>
      <c r="F32" s="2" t="s">
        <v>694</v>
      </c>
    </row>
    <row r="33" spans="2:6" ht="65.099999999999994" customHeight="1" x14ac:dyDescent="0.25">
      <c r="B33" s="4" t="s">
        <v>698</v>
      </c>
      <c r="C33" s="2" t="s">
        <v>699</v>
      </c>
      <c r="D33" s="2" t="s">
        <v>700</v>
      </c>
      <c r="E33" s="2" t="s">
        <v>626</v>
      </c>
      <c r="F33" s="2" t="s">
        <v>694</v>
      </c>
    </row>
    <row r="34" spans="2:6" ht="65.099999999999994" customHeight="1" x14ac:dyDescent="0.25">
      <c r="B34" s="4" t="s">
        <v>22</v>
      </c>
      <c r="C34" s="2" t="s">
        <v>701</v>
      </c>
      <c r="D34" s="2" t="s">
        <v>702</v>
      </c>
      <c r="E34" s="2" t="s">
        <v>626</v>
      </c>
      <c r="F34" s="2" t="s">
        <v>694</v>
      </c>
    </row>
    <row r="35" spans="2:6" ht="65.099999999999994" customHeight="1" x14ac:dyDescent="0.25">
      <c r="B35" s="4" t="s">
        <v>703</v>
      </c>
      <c r="C35" s="2" t="s">
        <v>704</v>
      </c>
      <c r="D35" s="2" t="s">
        <v>705</v>
      </c>
      <c r="E35" s="2" t="s">
        <v>626</v>
      </c>
      <c r="F35" s="2" t="s">
        <v>694</v>
      </c>
    </row>
    <row r="36" spans="2:6" ht="65.099999999999994" customHeight="1" x14ac:dyDescent="0.25">
      <c r="B36" s="4" t="s">
        <v>706</v>
      </c>
      <c r="C36" s="2" t="s">
        <v>707</v>
      </c>
      <c r="D36" s="2" t="s">
        <v>708</v>
      </c>
      <c r="E36" s="2" t="s">
        <v>626</v>
      </c>
      <c r="F36" s="2" t="s">
        <v>694</v>
      </c>
    </row>
    <row r="37" spans="2:6" ht="65.099999999999994" customHeight="1" x14ac:dyDescent="0.25">
      <c r="B37" s="4" t="s">
        <v>709</v>
      </c>
      <c r="C37" s="2" t="s">
        <v>710</v>
      </c>
      <c r="D37" s="2" t="s">
        <v>711</v>
      </c>
      <c r="E37" s="2" t="s">
        <v>626</v>
      </c>
      <c r="F37" s="2" t="s">
        <v>694</v>
      </c>
    </row>
    <row r="38" spans="2:6" ht="65.099999999999994" customHeight="1" x14ac:dyDescent="0.25">
      <c r="B38" s="4" t="s">
        <v>712</v>
      </c>
      <c r="C38" s="2" t="s">
        <v>713</v>
      </c>
      <c r="D38" s="2" t="s">
        <v>697</v>
      </c>
      <c r="E38" s="2" t="s">
        <v>625</v>
      </c>
      <c r="F38" s="2" t="s">
        <v>714</v>
      </c>
    </row>
    <row r="39" spans="2:6" ht="65.099999999999994" customHeight="1" x14ac:dyDescent="0.25">
      <c r="B39" s="4" t="s">
        <v>715</v>
      </c>
      <c r="C39" s="2" t="s">
        <v>716</v>
      </c>
      <c r="D39" s="2" t="s">
        <v>717</v>
      </c>
      <c r="E39" s="2" t="s">
        <v>626</v>
      </c>
      <c r="F39" s="2" t="s">
        <v>718</v>
      </c>
    </row>
    <row r="40" spans="2:6" ht="65.099999999999994" customHeight="1" x14ac:dyDescent="0.25">
      <c r="B40" s="4" t="s">
        <v>719</v>
      </c>
      <c r="C40" s="2" t="s">
        <v>720</v>
      </c>
      <c r="D40" s="2" t="s">
        <v>721</v>
      </c>
      <c r="E40" s="2" t="s">
        <v>722</v>
      </c>
      <c r="F40" s="2" t="s">
        <v>723</v>
      </c>
    </row>
    <row r="41" spans="2:6" ht="65.099999999999994" customHeight="1" x14ac:dyDescent="0.25">
      <c r="B41" s="4" t="s">
        <v>724</v>
      </c>
      <c r="C41" s="2" t="s">
        <v>725</v>
      </c>
      <c r="D41" s="2" t="s">
        <v>726</v>
      </c>
      <c r="E41" s="2" t="s">
        <v>626</v>
      </c>
      <c r="F41" s="2" t="s">
        <v>727</v>
      </c>
    </row>
  </sheetData>
  <mergeCells count="2">
    <mergeCell ref="B2:N3"/>
    <mergeCell ref="B5:N5"/>
  </mergeCells>
  <pageMargins left="0.3" right="0.3" top="0.75" bottom="0.75" header="0.3" footer="0.3"/>
  <pageSetup paperSize="9" scale="79" orientation="landscape" r:id="rId1"/>
  <headerFooter>
    <oddFooter>&amp;CNHS England public aggregate data | Independent analysis |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9421-3513-4355-8369-0397739BDF48}">
  <sheetPr>
    <pageSetUpPr fitToPage="1"/>
  </sheetPr>
  <dimension ref="B2:N96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38.7109375" style="1" customWidth="1"/>
    <col min="3" max="3" width="25.7109375" style="1" customWidth="1"/>
    <col min="4" max="4" width="19" style="1" customWidth="1"/>
    <col min="5" max="5" width="42.7109375" style="1" customWidth="1"/>
    <col min="6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ht="32.1" customHeight="1" x14ac:dyDescent="0.25">
      <c r="B8" s="4" t="s">
        <v>728</v>
      </c>
      <c r="C8" s="2" t="s">
        <v>729</v>
      </c>
      <c r="D8" s="2" t="s">
        <v>730</v>
      </c>
    </row>
    <row r="9" spans="2:14" x14ac:dyDescent="0.25">
      <c r="B9" s="5" t="s">
        <v>731</v>
      </c>
      <c r="C9" s="3">
        <v>24</v>
      </c>
      <c r="D9" s="3" t="s">
        <v>732</v>
      </c>
    </row>
    <row r="10" spans="2:14" x14ac:dyDescent="0.25">
      <c r="B10" s="5" t="s">
        <v>733</v>
      </c>
      <c r="C10" s="3">
        <v>236171</v>
      </c>
      <c r="D10" s="3" t="s">
        <v>732</v>
      </c>
    </row>
    <row r="11" spans="2:14" x14ac:dyDescent="0.25">
      <c r="B11" s="5" t="s">
        <v>734</v>
      </c>
      <c r="C11" s="3">
        <v>25</v>
      </c>
      <c r="D11" s="3" t="s">
        <v>732</v>
      </c>
    </row>
    <row r="12" spans="2:14" x14ac:dyDescent="0.25">
      <c r="B12" s="5" t="s">
        <v>735</v>
      </c>
      <c r="C12" s="3">
        <v>4918</v>
      </c>
      <c r="D12" s="3" t="s">
        <v>732</v>
      </c>
    </row>
    <row r="13" spans="2:14" x14ac:dyDescent="0.25">
      <c r="B13" s="5" t="s">
        <v>736</v>
      </c>
      <c r="C13" s="3">
        <v>24</v>
      </c>
      <c r="D13" s="3" t="s">
        <v>732</v>
      </c>
    </row>
    <row r="14" spans="2:14" x14ac:dyDescent="0.25">
      <c r="B14" s="5" t="s">
        <v>737</v>
      </c>
      <c r="C14" s="3">
        <v>162750</v>
      </c>
      <c r="D14" s="3" t="s">
        <v>732</v>
      </c>
    </row>
    <row r="18" spans="2:14" x14ac:dyDescent="0.25">
      <c r="B18" s="16" t="s">
        <v>738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2:14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2:14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3" spans="2:14" ht="32.1" customHeight="1" x14ac:dyDescent="0.25">
      <c r="B23" s="4" t="s">
        <v>739</v>
      </c>
      <c r="C23" s="2" t="s">
        <v>740</v>
      </c>
      <c r="D23" s="2" t="s">
        <v>741</v>
      </c>
      <c r="E23" s="2" t="s">
        <v>742</v>
      </c>
    </row>
    <row r="24" spans="2:14" x14ac:dyDescent="0.25">
      <c r="B24" s="5" t="s">
        <v>743</v>
      </c>
      <c r="C24" s="3" t="s">
        <v>23</v>
      </c>
      <c r="D24" s="3"/>
      <c r="E24" s="10" t="s">
        <v>744</v>
      </c>
    </row>
    <row r="25" spans="2:14" x14ac:dyDescent="0.25">
      <c r="B25" s="5" t="s">
        <v>743</v>
      </c>
      <c r="C25" s="3" t="s">
        <v>24</v>
      </c>
      <c r="D25" s="3">
        <v>45792</v>
      </c>
      <c r="E25" s="10" t="s">
        <v>745</v>
      </c>
    </row>
    <row r="26" spans="2:14" x14ac:dyDescent="0.25">
      <c r="B26" s="5" t="s">
        <v>743</v>
      </c>
      <c r="C26" s="3" t="s">
        <v>25</v>
      </c>
      <c r="D26" s="3">
        <v>45792</v>
      </c>
      <c r="E26" s="10" t="s">
        <v>746</v>
      </c>
    </row>
    <row r="27" spans="2:14" x14ac:dyDescent="0.25">
      <c r="B27" s="5" t="s">
        <v>743</v>
      </c>
      <c r="C27" s="3" t="s">
        <v>26</v>
      </c>
      <c r="D27" s="3"/>
      <c r="E27" s="10" t="s">
        <v>747</v>
      </c>
    </row>
    <row r="28" spans="2:14" x14ac:dyDescent="0.25">
      <c r="B28" s="5" t="s">
        <v>743</v>
      </c>
      <c r="C28" s="3" t="s">
        <v>27</v>
      </c>
      <c r="D28" s="3"/>
      <c r="E28" s="10" t="s">
        <v>748</v>
      </c>
    </row>
    <row r="29" spans="2:14" x14ac:dyDescent="0.25">
      <c r="B29" s="5" t="s">
        <v>743</v>
      </c>
      <c r="C29" s="3" t="s">
        <v>28</v>
      </c>
      <c r="D29" s="3">
        <v>45792</v>
      </c>
      <c r="E29" s="10" t="s">
        <v>749</v>
      </c>
    </row>
    <row r="30" spans="2:14" x14ac:dyDescent="0.25">
      <c r="B30" s="5" t="s">
        <v>743</v>
      </c>
      <c r="C30" s="3" t="s">
        <v>29</v>
      </c>
      <c r="D30" s="3"/>
      <c r="E30" s="10" t="s">
        <v>750</v>
      </c>
    </row>
    <row r="31" spans="2:14" x14ac:dyDescent="0.25">
      <c r="B31" s="5" t="s">
        <v>743</v>
      </c>
      <c r="C31" s="3" t="s">
        <v>30</v>
      </c>
      <c r="D31" s="3">
        <v>45974</v>
      </c>
      <c r="E31" s="10" t="s">
        <v>751</v>
      </c>
    </row>
    <row r="32" spans="2:14" x14ac:dyDescent="0.25">
      <c r="B32" s="5" t="s">
        <v>743</v>
      </c>
      <c r="C32" s="3" t="s">
        <v>31</v>
      </c>
      <c r="D32" s="3">
        <v>45974</v>
      </c>
      <c r="E32" s="10" t="s">
        <v>752</v>
      </c>
    </row>
    <row r="33" spans="2:5" x14ac:dyDescent="0.25">
      <c r="B33" s="5" t="s">
        <v>743</v>
      </c>
      <c r="C33" s="3" t="s">
        <v>32</v>
      </c>
      <c r="D33" s="3">
        <v>45974</v>
      </c>
      <c r="E33" s="10" t="s">
        <v>753</v>
      </c>
    </row>
    <row r="34" spans="2:5" x14ac:dyDescent="0.25">
      <c r="B34" s="5" t="s">
        <v>743</v>
      </c>
      <c r="C34" s="3" t="s">
        <v>33</v>
      </c>
      <c r="D34" s="3">
        <v>45974</v>
      </c>
      <c r="E34" s="10" t="s">
        <v>754</v>
      </c>
    </row>
    <row r="35" spans="2:5" x14ac:dyDescent="0.25">
      <c r="B35" s="5" t="s">
        <v>743</v>
      </c>
      <c r="C35" s="3" t="s">
        <v>34</v>
      </c>
      <c r="D35" s="3">
        <v>45974</v>
      </c>
      <c r="E35" s="10" t="s">
        <v>755</v>
      </c>
    </row>
    <row r="36" spans="2:5" x14ac:dyDescent="0.25">
      <c r="B36" s="5" t="s">
        <v>743</v>
      </c>
      <c r="C36" s="3" t="s">
        <v>35</v>
      </c>
      <c r="D36" s="3">
        <v>45974</v>
      </c>
      <c r="E36" s="10" t="s">
        <v>756</v>
      </c>
    </row>
    <row r="37" spans="2:5" x14ac:dyDescent="0.25">
      <c r="B37" s="5" t="s">
        <v>743</v>
      </c>
      <c r="C37" s="3" t="s">
        <v>36</v>
      </c>
      <c r="D37" s="3">
        <v>46156</v>
      </c>
      <c r="E37" s="10" t="s">
        <v>757</v>
      </c>
    </row>
    <row r="38" spans="2:5" x14ac:dyDescent="0.25">
      <c r="B38" s="5" t="s">
        <v>743</v>
      </c>
      <c r="C38" s="3" t="s">
        <v>37</v>
      </c>
      <c r="D38" s="3">
        <v>46156</v>
      </c>
      <c r="E38" s="10" t="s">
        <v>758</v>
      </c>
    </row>
    <row r="39" spans="2:5" x14ac:dyDescent="0.25">
      <c r="B39" s="5" t="s">
        <v>743</v>
      </c>
      <c r="C39" s="3" t="s">
        <v>38</v>
      </c>
      <c r="D39" s="3">
        <v>46156</v>
      </c>
      <c r="E39" s="10" t="s">
        <v>759</v>
      </c>
    </row>
    <row r="40" spans="2:5" x14ac:dyDescent="0.25">
      <c r="B40" s="5" t="s">
        <v>743</v>
      </c>
      <c r="C40" s="3" t="s">
        <v>39</v>
      </c>
      <c r="D40" s="3">
        <v>46156</v>
      </c>
      <c r="E40" s="10" t="s">
        <v>760</v>
      </c>
    </row>
    <row r="41" spans="2:5" x14ac:dyDescent="0.25">
      <c r="B41" s="5" t="s">
        <v>743</v>
      </c>
      <c r="C41" s="3" t="s">
        <v>40</v>
      </c>
      <c r="D41" s="3"/>
      <c r="E41" s="10" t="s">
        <v>761</v>
      </c>
    </row>
    <row r="42" spans="2:5" x14ac:dyDescent="0.25">
      <c r="B42" s="5" t="s">
        <v>743</v>
      </c>
      <c r="C42" s="3" t="s">
        <v>41</v>
      </c>
      <c r="D42" s="3">
        <v>46156</v>
      </c>
      <c r="E42" s="10" t="s">
        <v>762</v>
      </c>
    </row>
    <row r="43" spans="2:5" x14ac:dyDescent="0.25">
      <c r="B43" s="5" t="s">
        <v>743</v>
      </c>
      <c r="C43" s="3" t="s">
        <v>42</v>
      </c>
      <c r="D43" s="3"/>
      <c r="E43" s="10" t="s">
        <v>763</v>
      </c>
    </row>
    <row r="44" spans="2:5" x14ac:dyDescent="0.25">
      <c r="B44" s="5" t="s">
        <v>743</v>
      </c>
      <c r="C44" s="3" t="s">
        <v>43</v>
      </c>
      <c r="D44" s="3"/>
      <c r="E44" s="10" t="s">
        <v>764</v>
      </c>
    </row>
    <row r="45" spans="2:5" x14ac:dyDescent="0.25">
      <c r="B45" s="5" t="s">
        <v>743</v>
      </c>
      <c r="C45" s="3" t="s">
        <v>44</v>
      </c>
      <c r="D45" s="3"/>
      <c r="E45" s="10" t="s">
        <v>765</v>
      </c>
    </row>
    <row r="46" spans="2:5" x14ac:dyDescent="0.25">
      <c r="B46" s="5" t="s">
        <v>743</v>
      </c>
      <c r="C46" s="3" t="s">
        <v>45</v>
      </c>
      <c r="D46" s="3"/>
      <c r="E46" s="10" t="s">
        <v>766</v>
      </c>
    </row>
    <row r="47" spans="2:5" x14ac:dyDescent="0.25">
      <c r="B47" s="5" t="s">
        <v>743</v>
      </c>
      <c r="C47" s="3" t="s">
        <v>46</v>
      </c>
      <c r="D47" s="3"/>
      <c r="E47" s="10" t="s">
        <v>767</v>
      </c>
    </row>
    <row r="48" spans="2:5" x14ac:dyDescent="0.25">
      <c r="B48" s="5" t="s">
        <v>743</v>
      </c>
      <c r="C48" s="3" t="s">
        <v>47</v>
      </c>
      <c r="D48" s="3">
        <v>46303</v>
      </c>
      <c r="E48" s="10" t="s">
        <v>768</v>
      </c>
    </row>
    <row r="49" spans="2:5" x14ac:dyDescent="0.25">
      <c r="B49" s="5" t="s">
        <v>769</v>
      </c>
      <c r="C49" s="3" t="s">
        <v>23</v>
      </c>
      <c r="D49" s="3">
        <v>45848</v>
      </c>
      <c r="E49" s="10" t="s">
        <v>770</v>
      </c>
    </row>
    <row r="50" spans="2:5" x14ac:dyDescent="0.25">
      <c r="B50" s="5" t="s">
        <v>769</v>
      </c>
      <c r="C50" s="3" t="s">
        <v>24</v>
      </c>
      <c r="D50" s="3">
        <v>45848</v>
      </c>
      <c r="E50" s="10" t="s">
        <v>771</v>
      </c>
    </row>
    <row r="51" spans="2:5" x14ac:dyDescent="0.25">
      <c r="B51" s="5" t="s">
        <v>769</v>
      </c>
      <c r="C51" s="3" t="s">
        <v>25</v>
      </c>
      <c r="D51" s="3">
        <v>45848</v>
      </c>
      <c r="E51" s="10" t="s">
        <v>772</v>
      </c>
    </row>
    <row r="52" spans="2:5" x14ac:dyDescent="0.25">
      <c r="B52" s="5" t="s">
        <v>769</v>
      </c>
      <c r="C52" s="3" t="s">
        <v>26</v>
      </c>
      <c r="D52" s="3">
        <v>45848</v>
      </c>
      <c r="E52" s="10" t="s">
        <v>773</v>
      </c>
    </row>
    <row r="53" spans="2:5" x14ac:dyDescent="0.25">
      <c r="B53" s="5" t="s">
        <v>769</v>
      </c>
      <c r="C53" s="3" t="s">
        <v>27</v>
      </c>
      <c r="D53" s="3">
        <v>46128</v>
      </c>
      <c r="E53" s="10" t="s">
        <v>774</v>
      </c>
    </row>
    <row r="54" spans="2:5" x14ac:dyDescent="0.25">
      <c r="B54" s="5" t="s">
        <v>769</v>
      </c>
      <c r="C54" s="3" t="s">
        <v>28</v>
      </c>
      <c r="D54" s="3">
        <v>46128</v>
      </c>
      <c r="E54" s="10" t="s">
        <v>775</v>
      </c>
    </row>
    <row r="55" spans="2:5" x14ac:dyDescent="0.25">
      <c r="B55" s="5" t="s">
        <v>769</v>
      </c>
      <c r="C55" s="3" t="s">
        <v>29</v>
      </c>
      <c r="D55" s="3">
        <v>46128</v>
      </c>
      <c r="E55" s="10" t="s">
        <v>776</v>
      </c>
    </row>
    <row r="56" spans="2:5" x14ac:dyDescent="0.25">
      <c r="B56" s="5" t="s">
        <v>769</v>
      </c>
      <c r="C56" s="3" t="s">
        <v>30</v>
      </c>
      <c r="D56" s="3">
        <v>46128</v>
      </c>
      <c r="E56" s="10" t="s">
        <v>777</v>
      </c>
    </row>
    <row r="57" spans="2:5" x14ac:dyDescent="0.25">
      <c r="B57" s="5" t="s">
        <v>769</v>
      </c>
      <c r="C57" s="3" t="s">
        <v>31</v>
      </c>
      <c r="D57" s="3">
        <v>46128</v>
      </c>
      <c r="E57" s="10" t="s">
        <v>778</v>
      </c>
    </row>
    <row r="58" spans="2:5" x14ac:dyDescent="0.25">
      <c r="B58" s="5" t="s">
        <v>769</v>
      </c>
      <c r="C58" s="3" t="s">
        <v>32</v>
      </c>
      <c r="D58" s="3">
        <v>46128</v>
      </c>
      <c r="E58" s="10" t="s">
        <v>779</v>
      </c>
    </row>
    <row r="59" spans="2:5" x14ac:dyDescent="0.25">
      <c r="B59" s="5" t="s">
        <v>769</v>
      </c>
      <c r="C59" s="3" t="s">
        <v>33</v>
      </c>
      <c r="D59" s="3">
        <v>46128</v>
      </c>
      <c r="E59" s="10" t="s">
        <v>780</v>
      </c>
    </row>
    <row r="60" spans="2:5" x14ac:dyDescent="0.25">
      <c r="B60" s="5" t="s">
        <v>769</v>
      </c>
      <c r="C60" s="3" t="s">
        <v>34</v>
      </c>
      <c r="D60" s="3">
        <v>46128</v>
      </c>
      <c r="E60" s="10" t="s">
        <v>781</v>
      </c>
    </row>
    <row r="61" spans="2:5" x14ac:dyDescent="0.25">
      <c r="B61" s="5" t="s">
        <v>769</v>
      </c>
      <c r="C61" s="3" t="s">
        <v>35</v>
      </c>
      <c r="D61" s="3">
        <v>46275</v>
      </c>
      <c r="E61" s="10" t="s">
        <v>782</v>
      </c>
    </row>
    <row r="62" spans="2:5" x14ac:dyDescent="0.25">
      <c r="B62" s="5" t="s">
        <v>769</v>
      </c>
      <c r="C62" s="3" t="s">
        <v>36</v>
      </c>
      <c r="D62" s="3">
        <v>46275</v>
      </c>
      <c r="E62" s="10" t="s">
        <v>783</v>
      </c>
    </row>
    <row r="63" spans="2:5" x14ac:dyDescent="0.25">
      <c r="B63" s="5" t="s">
        <v>769</v>
      </c>
      <c r="C63" s="3" t="s">
        <v>37</v>
      </c>
      <c r="D63" s="3">
        <v>46275</v>
      </c>
      <c r="E63" s="10" t="s">
        <v>784</v>
      </c>
    </row>
    <row r="64" spans="2:5" x14ac:dyDescent="0.25">
      <c r="B64" s="5" t="s">
        <v>769</v>
      </c>
      <c r="C64" s="3" t="s">
        <v>38</v>
      </c>
      <c r="D64" s="3">
        <v>46275</v>
      </c>
      <c r="E64" s="10" t="s">
        <v>785</v>
      </c>
    </row>
    <row r="65" spans="2:5" x14ac:dyDescent="0.25">
      <c r="B65" s="5" t="s">
        <v>769</v>
      </c>
      <c r="C65" s="3" t="s">
        <v>39</v>
      </c>
      <c r="D65" s="3">
        <v>46275</v>
      </c>
      <c r="E65" s="10" t="s">
        <v>786</v>
      </c>
    </row>
    <row r="66" spans="2:5" x14ac:dyDescent="0.25">
      <c r="B66" s="5" t="s">
        <v>769</v>
      </c>
      <c r="C66" s="3" t="s">
        <v>40</v>
      </c>
      <c r="D66" s="3">
        <v>46275</v>
      </c>
      <c r="E66" s="10" t="s">
        <v>787</v>
      </c>
    </row>
    <row r="67" spans="2:5" x14ac:dyDescent="0.25">
      <c r="B67" s="5" t="s">
        <v>769</v>
      </c>
      <c r="C67" s="3" t="s">
        <v>41</v>
      </c>
      <c r="D67" s="3">
        <v>46275</v>
      </c>
      <c r="E67" s="10" t="s">
        <v>788</v>
      </c>
    </row>
    <row r="68" spans="2:5" x14ac:dyDescent="0.25">
      <c r="B68" s="5" t="s">
        <v>769</v>
      </c>
      <c r="C68" s="3" t="s">
        <v>42</v>
      </c>
      <c r="D68" s="3"/>
      <c r="E68" s="10" t="s">
        <v>789</v>
      </c>
    </row>
    <row r="69" spans="2:5" x14ac:dyDescent="0.25">
      <c r="B69" s="5" t="s">
        <v>769</v>
      </c>
      <c r="C69" s="3" t="s">
        <v>43</v>
      </c>
      <c r="D69" s="3"/>
      <c r="E69" s="10" t="s">
        <v>790</v>
      </c>
    </row>
    <row r="70" spans="2:5" x14ac:dyDescent="0.25">
      <c r="B70" s="5" t="s">
        <v>769</v>
      </c>
      <c r="C70" s="3" t="s">
        <v>44</v>
      </c>
      <c r="D70" s="3"/>
      <c r="E70" s="10" t="s">
        <v>791</v>
      </c>
    </row>
    <row r="71" spans="2:5" x14ac:dyDescent="0.25">
      <c r="B71" s="5" t="s">
        <v>769</v>
      </c>
      <c r="C71" s="3" t="s">
        <v>45</v>
      </c>
      <c r="D71" s="3"/>
      <c r="E71" s="10" t="s">
        <v>792</v>
      </c>
    </row>
    <row r="72" spans="2:5" x14ac:dyDescent="0.25">
      <c r="B72" s="5" t="s">
        <v>769</v>
      </c>
      <c r="C72" s="3" t="s">
        <v>46</v>
      </c>
      <c r="D72" s="3">
        <v>46303</v>
      </c>
      <c r="E72" s="10" t="s">
        <v>793</v>
      </c>
    </row>
    <row r="73" spans="2:5" x14ac:dyDescent="0.25">
      <c r="B73" s="5" t="s">
        <v>794</v>
      </c>
      <c r="C73" s="3" t="s">
        <v>23</v>
      </c>
      <c r="D73" s="3">
        <v>45701</v>
      </c>
      <c r="E73" s="10" t="s">
        <v>795</v>
      </c>
    </row>
    <row r="74" spans="2:5" x14ac:dyDescent="0.25">
      <c r="B74" s="5" t="s">
        <v>794</v>
      </c>
      <c r="C74" s="3" t="s">
        <v>24</v>
      </c>
      <c r="D74" s="3">
        <v>45848</v>
      </c>
      <c r="E74" s="10" t="s">
        <v>796</v>
      </c>
    </row>
    <row r="75" spans="2:5" x14ac:dyDescent="0.25">
      <c r="B75" s="5" t="s">
        <v>794</v>
      </c>
      <c r="C75" s="3" t="s">
        <v>25</v>
      </c>
      <c r="D75" s="3">
        <v>45848</v>
      </c>
      <c r="E75" s="10" t="s">
        <v>797</v>
      </c>
    </row>
    <row r="76" spans="2:5" x14ac:dyDescent="0.25">
      <c r="B76" s="5" t="s">
        <v>794</v>
      </c>
      <c r="C76" s="3" t="s">
        <v>26</v>
      </c>
      <c r="D76" s="3">
        <v>45848</v>
      </c>
      <c r="E76" s="10" t="s">
        <v>798</v>
      </c>
    </row>
    <row r="77" spans="2:5" x14ac:dyDescent="0.25">
      <c r="B77" s="5" t="s">
        <v>794</v>
      </c>
      <c r="C77" s="3" t="s">
        <v>27</v>
      </c>
      <c r="D77" s="3">
        <v>45848</v>
      </c>
      <c r="E77" s="10" t="s">
        <v>799</v>
      </c>
    </row>
    <row r="78" spans="2:5" x14ac:dyDescent="0.25">
      <c r="B78" s="5" t="s">
        <v>794</v>
      </c>
      <c r="C78" s="3" t="s">
        <v>28</v>
      </c>
      <c r="D78" s="3">
        <v>45848</v>
      </c>
      <c r="E78" s="10" t="s">
        <v>800</v>
      </c>
    </row>
    <row r="79" spans="2:5" x14ac:dyDescent="0.25">
      <c r="B79" s="5" t="s">
        <v>794</v>
      </c>
      <c r="C79" s="3" t="s">
        <v>29</v>
      </c>
      <c r="D79" s="3">
        <v>45848</v>
      </c>
      <c r="E79" s="10" t="s">
        <v>801</v>
      </c>
    </row>
    <row r="80" spans="2:5" x14ac:dyDescent="0.25">
      <c r="B80" s="5" t="s">
        <v>794</v>
      </c>
      <c r="C80" s="3" t="s">
        <v>30</v>
      </c>
      <c r="D80" s="3">
        <v>46065</v>
      </c>
      <c r="E80" s="10" t="s">
        <v>802</v>
      </c>
    </row>
    <row r="81" spans="2:5" x14ac:dyDescent="0.25">
      <c r="B81" s="5" t="s">
        <v>794</v>
      </c>
      <c r="C81" s="3" t="s">
        <v>31</v>
      </c>
      <c r="D81" s="3">
        <v>46065</v>
      </c>
      <c r="E81" s="10" t="s">
        <v>803</v>
      </c>
    </row>
    <row r="82" spans="2:5" x14ac:dyDescent="0.25">
      <c r="B82" s="5" t="s">
        <v>794</v>
      </c>
      <c r="C82" s="3" t="s">
        <v>32</v>
      </c>
      <c r="D82" s="3">
        <v>46065</v>
      </c>
      <c r="E82" s="10" t="s">
        <v>804</v>
      </c>
    </row>
    <row r="83" spans="2:5" x14ac:dyDescent="0.25">
      <c r="B83" s="5" t="s">
        <v>794</v>
      </c>
      <c r="C83" s="3" t="s">
        <v>33</v>
      </c>
      <c r="D83" s="3">
        <v>46065</v>
      </c>
      <c r="E83" s="10" t="s">
        <v>805</v>
      </c>
    </row>
    <row r="84" spans="2:5" x14ac:dyDescent="0.25">
      <c r="B84" s="5" t="s">
        <v>794</v>
      </c>
      <c r="C84" s="3" t="s">
        <v>34</v>
      </c>
      <c r="D84" s="3">
        <v>46065</v>
      </c>
      <c r="E84" s="10" t="s">
        <v>806</v>
      </c>
    </row>
    <row r="85" spans="2:5" x14ac:dyDescent="0.25">
      <c r="B85" s="5" t="s">
        <v>794</v>
      </c>
      <c r="C85" s="3" t="s">
        <v>35</v>
      </c>
      <c r="D85" s="3">
        <v>46065</v>
      </c>
      <c r="E85" s="10" t="s">
        <v>807</v>
      </c>
    </row>
    <row r="86" spans="2:5" x14ac:dyDescent="0.25">
      <c r="B86" s="5" t="s">
        <v>794</v>
      </c>
      <c r="C86" s="3" t="s">
        <v>36</v>
      </c>
      <c r="D86" s="3"/>
      <c r="E86" s="10" t="s">
        <v>808</v>
      </c>
    </row>
    <row r="87" spans="2:5" x14ac:dyDescent="0.25">
      <c r="B87" s="5" t="s">
        <v>794</v>
      </c>
      <c r="C87" s="3" t="s">
        <v>37</v>
      </c>
      <c r="D87" s="3"/>
      <c r="E87" s="10" t="s">
        <v>809</v>
      </c>
    </row>
    <row r="88" spans="2:5" x14ac:dyDescent="0.25">
      <c r="B88" s="5" t="s">
        <v>794</v>
      </c>
      <c r="C88" s="3" t="s">
        <v>38</v>
      </c>
      <c r="D88" s="3"/>
      <c r="E88" s="10" t="s">
        <v>810</v>
      </c>
    </row>
    <row r="89" spans="2:5" x14ac:dyDescent="0.25">
      <c r="B89" s="5" t="s">
        <v>794</v>
      </c>
      <c r="C89" s="3" t="s">
        <v>39</v>
      </c>
      <c r="D89" s="3"/>
      <c r="E89" s="10" t="s">
        <v>811</v>
      </c>
    </row>
    <row r="90" spans="2:5" x14ac:dyDescent="0.25">
      <c r="B90" s="5" t="s">
        <v>794</v>
      </c>
      <c r="C90" s="3" t="s">
        <v>40</v>
      </c>
      <c r="D90" s="3"/>
      <c r="E90" s="10" t="s">
        <v>812</v>
      </c>
    </row>
    <row r="91" spans="2:5" x14ac:dyDescent="0.25">
      <c r="B91" s="5" t="s">
        <v>794</v>
      </c>
      <c r="C91" s="3" t="s">
        <v>41</v>
      </c>
      <c r="D91" s="3"/>
      <c r="E91" s="10" t="s">
        <v>813</v>
      </c>
    </row>
    <row r="92" spans="2:5" x14ac:dyDescent="0.25">
      <c r="B92" s="5" t="s">
        <v>794</v>
      </c>
      <c r="C92" s="3" t="s">
        <v>42</v>
      </c>
      <c r="D92" s="3"/>
      <c r="E92" s="10" t="s">
        <v>814</v>
      </c>
    </row>
    <row r="93" spans="2:5" x14ac:dyDescent="0.25">
      <c r="B93" s="5" t="s">
        <v>794</v>
      </c>
      <c r="C93" s="3" t="s">
        <v>43</v>
      </c>
      <c r="D93" s="3"/>
      <c r="E93" s="10" t="s">
        <v>815</v>
      </c>
    </row>
    <row r="94" spans="2:5" x14ac:dyDescent="0.25">
      <c r="B94" s="5" t="s">
        <v>794</v>
      </c>
      <c r="C94" s="3" t="s">
        <v>44</v>
      </c>
      <c r="D94" s="3"/>
      <c r="E94" s="10" t="s">
        <v>816</v>
      </c>
    </row>
    <row r="95" spans="2:5" x14ac:dyDescent="0.25">
      <c r="B95" s="5" t="s">
        <v>794</v>
      </c>
      <c r="C95" s="3" t="s">
        <v>45</v>
      </c>
      <c r="D95" s="3"/>
      <c r="E95" s="10" t="s">
        <v>817</v>
      </c>
    </row>
    <row r="96" spans="2:5" x14ac:dyDescent="0.25">
      <c r="B96" s="5" t="s">
        <v>794</v>
      </c>
      <c r="C96" s="3" t="s">
        <v>46</v>
      </c>
      <c r="D96" s="3">
        <v>46303</v>
      </c>
      <c r="E96" s="10" t="s">
        <v>818</v>
      </c>
    </row>
  </sheetData>
  <mergeCells count="3">
    <mergeCell ref="B2:N3"/>
    <mergeCell ref="B5:N5"/>
    <mergeCell ref="B18:N20"/>
  </mergeCells>
  <hyperlinks>
    <hyperlink ref="E24" r:id="rId1" xr:uid="{E0FBBC33-A3F1-436F-84F3-D83C280411BB}"/>
    <hyperlink ref="E25" r:id="rId2" xr:uid="{441EAD6A-AD38-46D4-A027-50FDF1EBBE6B}"/>
    <hyperlink ref="E26" r:id="rId3" xr:uid="{48CB6DB1-06E2-4627-B544-F8791D801EC4}"/>
    <hyperlink ref="E27" r:id="rId4" xr:uid="{D50A462E-488A-4291-8A91-075A62B8D791}"/>
    <hyperlink ref="E28" r:id="rId5" xr:uid="{1EC78114-EC59-4020-B8CA-CB23F00AF6DD}"/>
    <hyperlink ref="E29" r:id="rId6" xr:uid="{96B27F46-4356-4DBB-9FAE-0843F8C23A4C}"/>
    <hyperlink ref="E30" r:id="rId7" xr:uid="{EEE5CBAB-9964-4D08-969C-38DB4E3B3421}"/>
    <hyperlink ref="E31" r:id="rId8" xr:uid="{BFF753DE-733B-4030-87C5-947BCC258964}"/>
    <hyperlink ref="E32" r:id="rId9" xr:uid="{2D7254A0-9ED2-471E-9DC8-24C43FCA4D2E}"/>
    <hyperlink ref="E33" r:id="rId10" xr:uid="{018863CC-0457-43B3-AB54-A11F40D523B8}"/>
    <hyperlink ref="E34" r:id="rId11" xr:uid="{9010E4F0-C0CD-4974-937C-818D2385E54A}"/>
    <hyperlink ref="E35" r:id="rId12" xr:uid="{A9FD0732-247F-452B-991C-C12E0F123586}"/>
    <hyperlink ref="E36" r:id="rId13" xr:uid="{3AFFF95D-76EE-4025-8FD7-F3204FBE29F1}"/>
    <hyperlink ref="E37" r:id="rId14" xr:uid="{3F2EC33D-1DC7-4735-94EF-0E3A0E6B5F65}"/>
    <hyperlink ref="E38" r:id="rId15" xr:uid="{47B38FD7-667F-48AB-92C4-82EAE04071F2}"/>
    <hyperlink ref="E39" r:id="rId16" xr:uid="{0BF40CF6-AEBC-4ED1-9CEC-19D3ECE5D673}"/>
    <hyperlink ref="E40" r:id="rId17" xr:uid="{8EB62CE5-4E70-474B-9322-C5EBDB38B7D5}"/>
    <hyperlink ref="E41" r:id="rId18" xr:uid="{5E87EBE2-CC9B-4AC3-ACFE-E89B5104D0B3}"/>
    <hyperlink ref="E42" r:id="rId19" xr:uid="{692D56E0-9CB7-456F-8756-CF68146321B0}"/>
    <hyperlink ref="E43" r:id="rId20" xr:uid="{ADFD1E66-CCA8-4128-8B62-A770FFEF43D8}"/>
    <hyperlink ref="E44" r:id="rId21" xr:uid="{AC3732A2-EBD0-4C2C-BB9F-E2AEED56C9B2}"/>
    <hyperlink ref="E45" r:id="rId22" xr:uid="{1C9F36CC-3787-499E-8D7C-A14E7A687295}"/>
    <hyperlink ref="E46" r:id="rId23" xr:uid="{F7E0D924-203F-4F56-9D44-A3E69AC2A3AF}"/>
    <hyperlink ref="E47" r:id="rId24" xr:uid="{4AEF4DF2-2871-4F70-88D2-174770EDDE83}"/>
    <hyperlink ref="E48" r:id="rId25" xr:uid="{DB260740-0566-40D7-AF59-EB3656419C48}"/>
    <hyperlink ref="E49" r:id="rId26" xr:uid="{ACEF833A-B1DE-444A-846A-DB557BBE7101}"/>
    <hyperlink ref="E50" r:id="rId27" xr:uid="{46FA50B9-A542-46C6-AE97-FFF29F8F384F}"/>
    <hyperlink ref="E51" r:id="rId28" xr:uid="{01C4A5CA-D869-4408-80BE-F8265DCF40AD}"/>
    <hyperlink ref="E52" r:id="rId29" xr:uid="{A1DC4A29-2E3B-4BDB-A946-FF16B10B4777}"/>
    <hyperlink ref="E53" r:id="rId30" xr:uid="{9F673787-6C1B-46CE-BC9B-4E9664CDB86A}"/>
    <hyperlink ref="E54" r:id="rId31" xr:uid="{480AFE94-0613-48BD-929B-EB87AFD89086}"/>
    <hyperlink ref="E55" r:id="rId32" xr:uid="{44747690-76B9-4B3D-8F80-49C0D773F456}"/>
    <hyperlink ref="E56" r:id="rId33" xr:uid="{DD150692-8483-4D7B-9FF7-DA1383F1A103}"/>
    <hyperlink ref="E57" r:id="rId34" xr:uid="{0833CC87-5524-48B9-B23C-2F8526718437}"/>
    <hyperlink ref="E58" r:id="rId35" xr:uid="{452F7CF4-FA7C-4647-8764-1D9EA011328E}"/>
    <hyperlink ref="E59" r:id="rId36" xr:uid="{6765BFCC-3EB0-4E7F-B452-890B6142BE05}"/>
    <hyperlink ref="E60" r:id="rId37" xr:uid="{AE6179BF-13B9-441E-9BA7-E054B2D38E93}"/>
    <hyperlink ref="E61" r:id="rId38" xr:uid="{B24912CB-6021-4904-A609-9323234E33F9}"/>
    <hyperlink ref="E62" r:id="rId39" xr:uid="{54E7F2F6-788E-4527-8E3B-18CE522B034E}"/>
    <hyperlink ref="E63" r:id="rId40" xr:uid="{13A6BC30-3E87-4AAB-AEB6-39B304EBFD37}"/>
    <hyperlink ref="E64" r:id="rId41" xr:uid="{E7C58C55-2976-4123-96D7-DBDE4740C2F3}"/>
    <hyperlink ref="E65" r:id="rId42" xr:uid="{D0A0D6C4-2ED9-4DF0-9025-F3C7E74EF489}"/>
    <hyperlink ref="E66" r:id="rId43" xr:uid="{2542F93E-4065-4224-AED4-8DA74A8B7490}"/>
    <hyperlink ref="E67" r:id="rId44" xr:uid="{25CAD832-4A7C-4B7B-8761-1E5AD0E078B5}"/>
    <hyperlink ref="E68" r:id="rId45" xr:uid="{8728094A-0EF1-437A-BB26-DC946AB47C81}"/>
    <hyperlink ref="E69" r:id="rId46" xr:uid="{7F6AD3E6-CB03-43AA-8262-9A64472C0642}"/>
    <hyperlink ref="E70" r:id="rId47" xr:uid="{9D6EA2BB-3925-4274-A760-14DA51C41013}"/>
    <hyperlink ref="E71" r:id="rId48" xr:uid="{8E6C6261-5257-4178-B4C5-DA80164FD8F2}"/>
    <hyperlink ref="E72" r:id="rId49" xr:uid="{FEDF5ABF-6117-463D-A563-771BE6EAF3C3}"/>
    <hyperlink ref="E73" r:id="rId50" xr:uid="{B4457897-839D-4BD3-9373-8CBC9F4D9A24}"/>
    <hyperlink ref="E74" r:id="rId51" xr:uid="{6A1FD7C1-5FE0-48E6-9AAC-15E98F9F1A1F}"/>
    <hyperlink ref="E75" r:id="rId52" xr:uid="{519F5490-AEFF-4A34-AE23-CAF46180FDCE}"/>
    <hyperlink ref="E76" r:id="rId53" xr:uid="{D76FD67C-8C02-40AF-A255-DB53B5EAE7E9}"/>
    <hyperlink ref="E77" r:id="rId54" xr:uid="{AE0C3A6C-9D2C-4BAE-8C31-BD33924769D2}"/>
    <hyperlink ref="E78" r:id="rId55" xr:uid="{615231F8-6B77-4D0E-AFCB-4ED05FF3D73B}"/>
    <hyperlink ref="E79" r:id="rId56" xr:uid="{81FA40E8-ABD1-4491-8222-BC044F23B67D}"/>
    <hyperlink ref="E80" r:id="rId57" xr:uid="{11689D2E-5278-4DCF-B5AB-28FB25A62C73}"/>
    <hyperlink ref="E81" r:id="rId58" xr:uid="{64053331-7838-4F7F-9F2D-F94840B267B2}"/>
    <hyperlink ref="E82" r:id="rId59" xr:uid="{1F09BCDE-778E-4D8C-AE28-08C9889107A6}"/>
    <hyperlink ref="E83" r:id="rId60" xr:uid="{076967EF-BFCF-45B5-867B-2BEAA32ADE39}"/>
    <hyperlink ref="E84" r:id="rId61" xr:uid="{C8A3E708-9CC4-4647-B533-D6AE484083D7}"/>
    <hyperlink ref="E85" r:id="rId62" xr:uid="{D4416541-9CE3-4D6B-8725-54ACA254B3B1}"/>
    <hyperlink ref="E86" r:id="rId63" xr:uid="{444B2F79-F66F-414B-AA51-21A3AE0DD340}"/>
    <hyperlink ref="E87" r:id="rId64" xr:uid="{A1DD8A28-396C-4DFA-AD4E-B786F8FBFC26}"/>
    <hyperlink ref="E88" r:id="rId65" xr:uid="{425131B9-9B30-4569-B78E-2DF0AAFEB44C}"/>
    <hyperlink ref="E89" r:id="rId66" xr:uid="{0EB96B92-42B9-435A-AE9A-2A2BFFFAC69D}"/>
    <hyperlink ref="E90" r:id="rId67" xr:uid="{FD0FE566-9BC4-442A-B997-FDACB4C2B406}"/>
    <hyperlink ref="E91" r:id="rId68" xr:uid="{F9B19118-EFFC-443E-B0B2-784F9E97870C}"/>
    <hyperlink ref="E92" r:id="rId69" xr:uid="{B2B82AFD-BA2C-45DF-B018-A8C2B637335E}"/>
    <hyperlink ref="E93" r:id="rId70" xr:uid="{8177AFCD-B1CD-4A6B-8451-21B138560A8F}"/>
    <hyperlink ref="E94" r:id="rId71" xr:uid="{EAEE80A4-3A43-4B52-A941-C4F590811BD7}"/>
    <hyperlink ref="E95" r:id="rId72" xr:uid="{9AD6B6B7-4E17-4717-8BAD-140C31FE7712}"/>
    <hyperlink ref="E96" r:id="rId73" xr:uid="{58995600-C3C6-49A1-B021-F86F4434F875}"/>
  </hyperlinks>
  <pageMargins left="0.3" right="0.3" top="0.75" bottom="0.75" header="0.3" footer="0.3"/>
  <pageSetup paperSize="9" scale="58" orientation="landscape" r:id="rId74"/>
  <headerFooter>
    <oddFooter>&amp;CNHS England public aggregate data | Independent analysis | &amp;P of &amp;N</oddFooter>
  </headerFooter>
  <tableParts count="2">
    <tablePart r:id="rId75"/>
    <tablePart r:id="rId7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5CE1-7082-49B6-9B2E-A49327F80DC1}">
  <sheetPr>
    <pageSetUpPr fitToPage="1"/>
  </sheetPr>
  <dimension ref="B2:N17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2" width="32.7109375" style="1" customWidth="1"/>
    <col min="3" max="4" width="17.7109375" style="1" customWidth="1"/>
    <col min="5" max="5" width="62.7109375" style="1" customWidth="1"/>
    <col min="6" max="6" width="17.7109375" style="1" customWidth="1"/>
    <col min="7" max="7" width="3.7109375" style="1" customWidth="1"/>
    <col min="8" max="14" width="13.7109375" style="1" customWidth="1"/>
    <col min="15" max="16384" width="9.140625" style="1"/>
  </cols>
  <sheetData>
    <row r="2" spans="2:14" x14ac:dyDescent="0.25">
      <c r="B2" s="17" t="s">
        <v>10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4" x14ac:dyDescent="0.25">
      <c r="B8" s="1" t="s">
        <v>819</v>
      </c>
      <c r="C8" s="1" t="s">
        <v>820</v>
      </c>
      <c r="D8" s="1" t="s">
        <v>821</v>
      </c>
      <c r="E8" s="1" t="s">
        <v>619</v>
      </c>
    </row>
    <row r="9" spans="2:14" x14ac:dyDescent="0.25">
      <c r="B9" s="1" t="s">
        <v>822</v>
      </c>
      <c r="C9" s="12">
        <v>109936</v>
      </c>
      <c r="D9" s="1" t="s">
        <v>823</v>
      </c>
      <c r="E9" s="1" t="s">
        <v>824</v>
      </c>
    </row>
    <row r="10" spans="2:14" x14ac:dyDescent="0.25">
      <c r="B10" s="1" t="s">
        <v>825</v>
      </c>
      <c r="C10" s="11">
        <v>0.1</v>
      </c>
      <c r="D10" s="1" t="s">
        <v>826</v>
      </c>
      <c r="E10" s="1" t="s">
        <v>827</v>
      </c>
    </row>
    <row r="11" spans="2:14" x14ac:dyDescent="0.25">
      <c r="B11" s="1" t="s">
        <v>828</v>
      </c>
      <c r="C11" s="12">
        <f>C9*(1-C10)</f>
        <v>98942.400000000009</v>
      </c>
      <c r="D11" s="1" t="s">
        <v>823</v>
      </c>
      <c r="E11" s="1" t="s">
        <v>829</v>
      </c>
    </row>
    <row r="15" spans="2:14" x14ac:dyDescent="0.25">
      <c r="B15" s="16" t="s">
        <v>830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2:14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2:14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</sheetData>
  <mergeCells count="3">
    <mergeCell ref="B2:N3"/>
    <mergeCell ref="B5:N5"/>
    <mergeCell ref="B15:N17"/>
  </mergeCells>
  <dataValidations count="1">
    <dataValidation type="decimal" allowBlank="1" showInputMessage="1" showErrorMessage="1" sqref="C10" xr:uid="{B5B1AB14-3390-4610-A091-620F4243A641}">
      <formula1>0</formula1>
      <formula2>1</formula2>
    </dataValidation>
  </dataValidations>
  <pageMargins left="0.3" right="0.3" top="0.75" bottom="0.75" header="0.3" footer="0.3"/>
  <pageSetup paperSize="9" scale="56" orientation="landscape" r:id="rId1"/>
  <headerFooter>
    <oddFooter>&amp;CNHS England public aggregate data | Independent analysis |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AEE7-96B5-4FD3-9ABE-58FAB03E9F35}">
  <sheetPr>
    <pageSetUpPr fitToPage="1"/>
  </sheetPr>
  <dimension ref="B2:R33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 x14ac:dyDescent="0.25"/>
  <cols>
    <col min="1" max="1" width="3.7109375" style="1" customWidth="1"/>
    <col min="2" max="12" width="16.7109375" style="1" customWidth="1"/>
    <col min="13" max="14" width="13.7109375" style="1" customWidth="1"/>
    <col min="15" max="15" width="9.140625" style="1"/>
    <col min="16" max="18" width="0" style="1" hidden="1" customWidth="1"/>
    <col min="19" max="16384" width="9.140625" style="1"/>
  </cols>
  <sheetData>
    <row r="2" spans="2:18" x14ac:dyDescent="0.25">
      <c r="B2" s="17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8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spans="2:18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8" spans="2:18" ht="32.1" customHeight="1" x14ac:dyDescent="0.25">
      <c r="B8" s="4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P8" s="1" t="s">
        <v>12</v>
      </c>
      <c r="Q8" s="1" t="s">
        <v>613</v>
      </c>
      <c r="R8" s="1" t="s">
        <v>614</v>
      </c>
    </row>
    <row r="9" spans="2:18" x14ac:dyDescent="0.25">
      <c r="B9" s="5" t="s">
        <v>23</v>
      </c>
      <c r="C9" s="3">
        <v>7571549</v>
      </c>
      <c r="D9" s="3">
        <v>4429902</v>
      </c>
      <c r="E9" s="3">
        <v>249024</v>
      </c>
      <c r="F9" s="3">
        <v>2214217</v>
      </c>
      <c r="G9" s="3">
        <v>1643329</v>
      </c>
      <c r="H9" s="3">
        <v>530824</v>
      </c>
      <c r="I9" s="3">
        <v>38880</v>
      </c>
      <c r="J9" s="3">
        <v>1592553</v>
      </c>
      <c r="K9" s="3">
        <v>361264</v>
      </c>
      <c r="L9" s="3">
        <v>2393472</v>
      </c>
      <c r="P9" s="5" t="str">
        <f>'Monthly Trends'!B9</f>
        <v>2024-09</v>
      </c>
      <c r="Q9" s="1">
        <f>IF(ISNUMBER('Monthly Trends'!C9),'Monthly Trends'!C9,NA())</f>
        <v>0.58507209026845097</v>
      </c>
      <c r="R9" s="1">
        <f>IF(ISNUMBER('Monthly Trends'!D9),'Monthly Trends'!D9,NA())</f>
        <v>0.74217161190615011</v>
      </c>
    </row>
    <row r="10" spans="2:18" x14ac:dyDescent="0.25">
      <c r="B10" s="5" t="s">
        <v>24</v>
      </c>
      <c r="C10" s="3">
        <v>7541371</v>
      </c>
      <c r="D10" s="3">
        <v>4444500</v>
      </c>
      <c r="E10" s="3">
        <v>234914</v>
      </c>
      <c r="F10" s="3">
        <v>2360536</v>
      </c>
      <c r="G10" s="3">
        <v>1725194</v>
      </c>
      <c r="H10" s="3">
        <v>567448</v>
      </c>
      <c r="I10" s="3">
        <v>49616</v>
      </c>
      <c r="J10" s="3">
        <v>1636424</v>
      </c>
      <c r="K10" s="3">
        <v>338730</v>
      </c>
      <c r="L10" s="3">
        <v>2568267</v>
      </c>
      <c r="P10" s="5" t="str">
        <f>'Monthly Trends'!B10</f>
        <v>2024-10</v>
      </c>
      <c r="Q10" s="1">
        <f>IF(ISNUMBER('Monthly Trends'!C10),'Monthly Trends'!C10,NA())</f>
        <v>0.58934907193930652</v>
      </c>
      <c r="R10" s="1">
        <f>IF(ISNUMBER('Monthly Trends'!D10),'Monthly Trends'!D10,NA())</f>
        <v>0.73084841747806428</v>
      </c>
    </row>
    <row r="11" spans="2:18" x14ac:dyDescent="0.25">
      <c r="B11" s="5" t="s">
        <v>25</v>
      </c>
      <c r="C11" s="3">
        <v>7479867</v>
      </c>
      <c r="D11" s="3">
        <v>4424701</v>
      </c>
      <c r="E11" s="3">
        <v>221567</v>
      </c>
      <c r="F11" s="3">
        <v>2314998</v>
      </c>
      <c r="G11" s="3">
        <v>1671002</v>
      </c>
      <c r="H11" s="3">
        <v>552161</v>
      </c>
      <c r="I11" s="3">
        <v>45791</v>
      </c>
      <c r="J11" s="3">
        <v>1620824</v>
      </c>
      <c r="K11" s="3">
        <v>322929</v>
      </c>
      <c r="L11" s="3">
        <v>2465088</v>
      </c>
      <c r="P11" s="5" t="str">
        <f>'Monthly Trends'!B11</f>
        <v>2024-11</v>
      </c>
      <c r="Q11" s="1">
        <f>IF(ISNUMBER('Monthly Trends'!C11),'Monthly Trends'!C11,NA())</f>
        <v>0.59154808501274159</v>
      </c>
      <c r="R11" s="1">
        <f>IF(ISNUMBER('Monthly Trends'!D11),'Monthly Trends'!D11,NA())</f>
        <v>0.72181574238941026</v>
      </c>
    </row>
    <row r="12" spans="2:18" x14ac:dyDescent="0.25">
      <c r="B12" s="5" t="s">
        <v>26</v>
      </c>
      <c r="C12" s="3">
        <v>7463085</v>
      </c>
      <c r="D12" s="3">
        <v>4398544</v>
      </c>
      <c r="E12" s="3">
        <v>200402</v>
      </c>
      <c r="F12" s="3">
        <v>2345934</v>
      </c>
      <c r="G12" s="3">
        <v>1668461</v>
      </c>
      <c r="H12" s="3">
        <v>552592</v>
      </c>
      <c r="I12" s="3">
        <v>54207</v>
      </c>
      <c r="J12" s="3">
        <v>1568661</v>
      </c>
      <c r="K12" s="3">
        <v>357119</v>
      </c>
      <c r="L12" s="3">
        <v>2257697</v>
      </c>
      <c r="P12" s="5" t="str">
        <f>'Monthly Trends'!B12</f>
        <v>2024-12</v>
      </c>
      <c r="Q12" s="1">
        <f>IF(ISNUMBER('Monthly Trends'!C12),'Monthly Trends'!C12,NA())</f>
        <v>0.58937342935260684</v>
      </c>
      <c r="R12" s="1">
        <f>IF(ISNUMBER('Monthly Trends'!D12),'Monthly Trends'!D12,NA())</f>
        <v>0.71121395572083446</v>
      </c>
    </row>
    <row r="13" spans="2:18" x14ac:dyDescent="0.25">
      <c r="B13" s="5" t="s">
        <v>27</v>
      </c>
      <c r="C13" s="3">
        <v>7427669</v>
      </c>
      <c r="D13" s="3">
        <v>4371844</v>
      </c>
      <c r="E13" s="3">
        <v>198828</v>
      </c>
      <c r="F13" s="3">
        <v>2218130</v>
      </c>
      <c r="G13" s="3">
        <v>1619384</v>
      </c>
      <c r="H13" s="3">
        <v>548775</v>
      </c>
      <c r="I13" s="3">
        <v>61529</v>
      </c>
      <c r="J13" s="3">
        <v>1627995</v>
      </c>
      <c r="K13" s="3">
        <v>365178</v>
      </c>
      <c r="L13" s="3">
        <v>2539567</v>
      </c>
      <c r="P13" s="5" t="str">
        <f>'Monthly Trends'!B13</f>
        <v>2025-01</v>
      </c>
      <c r="Q13" s="1">
        <f>IF(ISNUMBER('Monthly Trends'!C13),'Monthly Trends'!C13,NA())</f>
        <v>0.58858896377854208</v>
      </c>
      <c r="R13" s="1">
        <f>IF(ISNUMBER('Monthly Trends'!D13),'Monthly Trends'!D13,NA())</f>
        <v>0.73006721878338965</v>
      </c>
    </row>
    <row r="14" spans="2:18" x14ac:dyDescent="0.25">
      <c r="B14" s="5" t="s">
        <v>28</v>
      </c>
      <c r="C14" s="3">
        <v>7401153</v>
      </c>
      <c r="D14" s="3">
        <v>4379951</v>
      </c>
      <c r="E14" s="3">
        <v>193525</v>
      </c>
      <c r="F14" s="3">
        <v>2088071</v>
      </c>
      <c r="G14" s="3">
        <v>1533925</v>
      </c>
      <c r="H14" s="3">
        <v>496095</v>
      </c>
      <c r="I14" s="3">
        <v>47623</v>
      </c>
      <c r="J14" s="3">
        <v>1674823</v>
      </c>
      <c r="K14" s="3">
        <v>292432</v>
      </c>
      <c r="L14" s="3">
        <v>2354255</v>
      </c>
      <c r="P14" s="5" t="str">
        <f>'Monthly Trends'!B14</f>
        <v>2025-02</v>
      </c>
      <c r="Q14" s="1">
        <f>IF(ISNUMBER('Monthly Trends'!C14),'Monthly Trends'!C14,NA())</f>
        <v>0.59179306251336783</v>
      </c>
      <c r="R14" s="1">
        <f>IF(ISNUMBER('Monthly Trends'!D14),'Monthly Trends'!D14,NA())</f>
        <v>0.73461343029044512</v>
      </c>
    </row>
    <row r="15" spans="2:18" x14ac:dyDescent="0.25">
      <c r="B15" s="5" t="s">
        <v>29</v>
      </c>
      <c r="C15" s="3">
        <v>7418598</v>
      </c>
      <c r="D15" s="3">
        <v>4434722</v>
      </c>
      <c r="E15" s="3">
        <v>180243</v>
      </c>
      <c r="F15" s="3">
        <v>2389064</v>
      </c>
      <c r="G15" s="3">
        <v>1791316</v>
      </c>
      <c r="H15" s="3">
        <v>551129</v>
      </c>
      <c r="I15" s="3">
        <v>46766</v>
      </c>
      <c r="J15" s="3">
        <v>1709380</v>
      </c>
      <c r="K15" s="3">
        <v>313990</v>
      </c>
      <c r="L15" s="3">
        <v>2526281</v>
      </c>
      <c r="P15" s="5" t="str">
        <f>'Monthly Trends'!B15</f>
        <v>2025-03</v>
      </c>
      <c r="Q15" s="1">
        <f>IF(ISNUMBER('Monthly Trends'!C15),'Monthly Trends'!C15,NA())</f>
        <v>0.59778437920480387</v>
      </c>
      <c r="R15" s="1">
        <f>IF(ISNUMBER('Monthly Trends'!D15),'Monthly Trends'!D15,NA())</f>
        <v>0.74979824734707823</v>
      </c>
    </row>
    <row r="16" spans="2:18" x14ac:dyDescent="0.25">
      <c r="B16" s="5" t="s">
        <v>30</v>
      </c>
      <c r="C16" s="3">
        <v>7389065</v>
      </c>
      <c r="D16" s="3">
        <v>4413682</v>
      </c>
      <c r="E16" s="3">
        <v>190023</v>
      </c>
      <c r="F16" s="3">
        <v>2297421</v>
      </c>
      <c r="G16" s="3">
        <v>1718099</v>
      </c>
      <c r="H16" s="3">
        <v>528230</v>
      </c>
      <c r="I16" s="3">
        <v>44648</v>
      </c>
      <c r="J16" s="3">
        <v>1703100</v>
      </c>
      <c r="K16" s="3">
        <v>361993</v>
      </c>
      <c r="L16" s="3">
        <v>2429486</v>
      </c>
      <c r="P16" s="5" t="str">
        <f>'Monthly Trends'!B16</f>
        <v>2025-04</v>
      </c>
      <c r="Q16" s="1">
        <f>IF(ISNUMBER('Monthly Trends'!C16),'Monthly Trends'!C16,NA())</f>
        <v>0.59732618403004978</v>
      </c>
      <c r="R16" s="1">
        <f>IF(ISNUMBER('Monthly Trends'!D16),'Monthly Trends'!D16,NA())</f>
        <v>0.74783811935209088</v>
      </c>
    </row>
    <row r="17" spans="2:18" x14ac:dyDescent="0.25">
      <c r="B17" s="5" t="s">
        <v>31</v>
      </c>
      <c r="C17" s="3">
        <v>7355950</v>
      </c>
      <c r="D17" s="3">
        <v>4482076</v>
      </c>
      <c r="E17" s="3">
        <v>196839</v>
      </c>
      <c r="F17" s="3">
        <v>2397529</v>
      </c>
      <c r="G17" s="3">
        <v>1807794</v>
      </c>
      <c r="H17" s="3">
        <v>545128</v>
      </c>
      <c r="I17" s="3">
        <v>42891</v>
      </c>
      <c r="J17" s="3">
        <v>1715934</v>
      </c>
      <c r="K17" s="3">
        <v>378352</v>
      </c>
      <c r="L17" s="3">
        <v>2500593</v>
      </c>
      <c r="P17" s="5" t="str">
        <f>'Monthly Trends'!B17</f>
        <v>2025-05</v>
      </c>
      <c r="Q17" s="1">
        <f>IF(ISNUMBER('Monthly Trends'!C17),'Monthly Trends'!C17,NA())</f>
        <v>0.60931300511830555</v>
      </c>
      <c r="R17" s="1">
        <f>IF(ISNUMBER('Monthly Trends'!D17),'Monthly Trends'!D17,NA())</f>
        <v>0.75402383036868381</v>
      </c>
    </row>
    <row r="18" spans="2:18" x14ac:dyDescent="0.25">
      <c r="B18" s="5" t="s">
        <v>32</v>
      </c>
      <c r="C18" s="3">
        <v>7367836</v>
      </c>
      <c r="D18" s="3">
        <v>4533070</v>
      </c>
      <c r="E18" s="3">
        <v>191755</v>
      </c>
      <c r="F18" s="3">
        <v>2351581</v>
      </c>
      <c r="G18" s="3">
        <v>1776772</v>
      </c>
      <c r="H18" s="3">
        <v>535941</v>
      </c>
      <c r="I18" s="3">
        <v>38683</v>
      </c>
      <c r="J18" s="3">
        <v>1739272</v>
      </c>
      <c r="K18" s="3">
        <v>370874</v>
      </c>
      <c r="L18" s="3">
        <v>2529788</v>
      </c>
      <c r="P18" s="5" t="str">
        <f>'Monthly Trends'!B18</f>
        <v>2025-06</v>
      </c>
      <c r="Q18" s="1">
        <f>IF(ISNUMBER('Monthly Trends'!C18),'Monthly Trends'!C18,NA())</f>
        <v>0.61525120808877942</v>
      </c>
      <c r="R18" s="1">
        <f>IF(ISNUMBER('Monthly Trends'!D18),'Monthly Trends'!D18,NA())</f>
        <v>0.7555648731640543</v>
      </c>
    </row>
    <row r="19" spans="2:18" x14ac:dyDescent="0.25">
      <c r="B19" s="5" t="s">
        <v>33</v>
      </c>
      <c r="C19" s="3">
        <v>7299023</v>
      </c>
      <c r="D19" s="3">
        <v>4468469</v>
      </c>
      <c r="E19" s="3">
        <v>189416</v>
      </c>
      <c r="F19" s="3">
        <v>2408866</v>
      </c>
      <c r="G19" s="3">
        <v>1840562</v>
      </c>
      <c r="H19" s="3">
        <v>559392</v>
      </c>
      <c r="I19" s="3">
        <v>35467</v>
      </c>
      <c r="J19" s="3">
        <v>1753665</v>
      </c>
      <c r="K19" s="3">
        <v>383518</v>
      </c>
      <c r="L19" s="3">
        <v>2662297</v>
      </c>
      <c r="P19" s="5" t="str">
        <f>'Monthly Trends'!B19</f>
        <v>2025-07</v>
      </c>
      <c r="Q19" s="1">
        <f>IF(ISNUMBER('Monthly Trends'!C19),'Monthly Trends'!C19,NA())</f>
        <v>0.61220097539081597</v>
      </c>
      <c r="R19" s="1">
        <f>IF(ISNUMBER('Monthly Trends'!D19),'Monthly Trends'!D19,NA())</f>
        <v>0.76407820111205849</v>
      </c>
    </row>
    <row r="20" spans="2:18" x14ac:dyDescent="0.25">
      <c r="B20" s="5" t="s">
        <v>34</v>
      </c>
      <c r="C20" s="3">
        <v>7312356</v>
      </c>
      <c r="D20" s="3">
        <v>4458454</v>
      </c>
      <c r="E20" s="3">
        <v>188702</v>
      </c>
      <c r="F20" s="3">
        <v>2266937</v>
      </c>
      <c r="G20" s="3">
        <v>1720066</v>
      </c>
      <c r="H20" s="3">
        <v>526399</v>
      </c>
      <c r="I20" s="3">
        <v>35909</v>
      </c>
      <c r="J20" s="3">
        <v>1683852</v>
      </c>
      <c r="K20" s="3">
        <v>404795</v>
      </c>
      <c r="L20" s="3">
        <v>2422424</v>
      </c>
      <c r="P20" s="5" t="str">
        <f>'Monthly Trends'!B20</f>
        <v>2025-08</v>
      </c>
      <c r="Q20" s="1">
        <f>IF(ISNUMBER('Monthly Trends'!C20),'Monthly Trends'!C20,NA())</f>
        <v>0.6097151178088156</v>
      </c>
      <c r="R20" s="1">
        <f>IF(ISNUMBER('Monthly Trends'!D20),'Monthly Trends'!D20,NA())</f>
        <v>0.75876215351375009</v>
      </c>
    </row>
    <row r="21" spans="2:18" x14ac:dyDescent="0.25">
      <c r="B21" s="5" t="s">
        <v>35</v>
      </c>
      <c r="C21" s="3">
        <v>7296893</v>
      </c>
      <c r="D21" s="3">
        <v>4505684</v>
      </c>
      <c r="E21" s="3">
        <v>178532</v>
      </c>
      <c r="F21" s="3">
        <v>2310222</v>
      </c>
      <c r="G21" s="3">
        <v>1733831</v>
      </c>
      <c r="H21" s="3">
        <v>535580</v>
      </c>
      <c r="I21" s="3">
        <v>44765</v>
      </c>
      <c r="J21" s="3">
        <v>1736880</v>
      </c>
      <c r="K21" s="3">
        <v>389018</v>
      </c>
      <c r="L21" s="3">
        <v>2565974</v>
      </c>
      <c r="P21" s="5" t="str">
        <f>'Monthly Trends'!B21</f>
        <v>2025-09</v>
      </c>
      <c r="Q21" s="1">
        <f>IF(ISNUMBER('Monthly Trends'!C21),'Monthly Trends'!C21,NA())</f>
        <v>0.61747979585283763</v>
      </c>
      <c r="R21" s="1">
        <f>IF(ISNUMBER('Monthly Trends'!D21),'Monthly Trends'!D21,NA())</f>
        <v>0.75050406411158754</v>
      </c>
    </row>
    <row r="22" spans="2:18" x14ac:dyDescent="0.25">
      <c r="B22" s="5" t="s">
        <v>36</v>
      </c>
      <c r="C22" s="3">
        <v>7304189</v>
      </c>
      <c r="D22" s="3">
        <v>4506981</v>
      </c>
      <c r="E22" s="3">
        <v>170759</v>
      </c>
      <c r="F22" s="3">
        <v>2401266</v>
      </c>
      <c r="G22" s="3">
        <v>1781392</v>
      </c>
      <c r="H22" s="3">
        <v>553499</v>
      </c>
      <c r="I22" s="3">
        <v>54326</v>
      </c>
      <c r="J22" s="3">
        <v>1794463</v>
      </c>
      <c r="K22" s="3">
        <v>381873</v>
      </c>
      <c r="L22" s="3">
        <v>2649560</v>
      </c>
      <c r="P22" s="5" t="str">
        <f>'Monthly Trends'!B22</f>
        <v>2025-10</v>
      </c>
      <c r="Q22" s="1">
        <f>IF(ISNUMBER('Monthly Trends'!C22),'Monthly Trends'!C22,NA())</f>
        <v>0.61704057767398957</v>
      </c>
      <c r="R22" s="1">
        <f>IF(ISNUMBER('Monthly Trends'!D22),'Monthly Trends'!D22,NA())</f>
        <v>0.74185533797588443</v>
      </c>
    </row>
    <row r="23" spans="2:18" x14ac:dyDescent="0.25">
      <c r="B23" s="5" t="s">
        <v>37</v>
      </c>
      <c r="C23" s="3">
        <v>7159010</v>
      </c>
      <c r="D23" s="3">
        <v>4412862</v>
      </c>
      <c r="E23" s="3">
        <v>154121</v>
      </c>
      <c r="F23" s="3">
        <v>2347046</v>
      </c>
      <c r="G23" s="3">
        <v>1741906</v>
      </c>
      <c r="H23" s="3">
        <v>531747</v>
      </c>
      <c r="I23" s="3">
        <v>50648</v>
      </c>
      <c r="J23" s="3">
        <v>1768507</v>
      </c>
      <c r="K23" s="3">
        <v>384218</v>
      </c>
      <c r="L23" s="3">
        <v>2478675</v>
      </c>
      <c r="P23" s="5" t="str">
        <f>'Monthly Trends'!B23</f>
        <v>2025-11</v>
      </c>
      <c r="Q23" s="1">
        <f>IF(ISNUMBER('Monthly Trends'!C23),'Monthly Trends'!C23,NA())</f>
        <v>0.61640673780313204</v>
      </c>
      <c r="R23" s="1">
        <f>IF(ISNUMBER('Monthly Trends'!D23),'Monthly Trends'!D23,NA())</f>
        <v>0.74216951862042757</v>
      </c>
    </row>
    <row r="24" spans="2:18" x14ac:dyDescent="0.25">
      <c r="B24" s="5" t="s">
        <v>38</v>
      </c>
      <c r="C24" s="3">
        <v>7199624</v>
      </c>
      <c r="D24" s="3">
        <v>4424207</v>
      </c>
      <c r="E24" s="3">
        <v>138711</v>
      </c>
      <c r="F24" s="3">
        <v>2326139</v>
      </c>
      <c r="G24" s="3">
        <v>1717664</v>
      </c>
      <c r="H24" s="3">
        <v>542188</v>
      </c>
      <c r="I24" s="3">
        <v>50789</v>
      </c>
      <c r="J24" s="3">
        <v>1749804</v>
      </c>
      <c r="K24" s="3">
        <v>433589</v>
      </c>
      <c r="L24" s="3">
        <v>2391927</v>
      </c>
      <c r="P24" s="5" t="str">
        <f>'Monthly Trends'!B24</f>
        <v>2025-12</v>
      </c>
      <c r="Q24" s="1">
        <f>IF(ISNUMBER('Monthly Trends'!C24),'Monthly Trends'!C24,NA())</f>
        <v>0.61450528527600889</v>
      </c>
      <c r="R24" s="1">
        <f>IF(ISNUMBER('Monthly Trends'!D24),'Monthly Trends'!D24,NA())</f>
        <v>0.73841846940359113</v>
      </c>
    </row>
    <row r="25" spans="2:18" x14ac:dyDescent="0.25">
      <c r="B25" s="5" t="s">
        <v>39</v>
      </c>
      <c r="C25" s="3">
        <v>7155958</v>
      </c>
      <c r="D25" s="3">
        <v>4395958</v>
      </c>
      <c r="E25" s="3">
        <v>133860</v>
      </c>
      <c r="F25" s="3">
        <v>2319296</v>
      </c>
      <c r="G25" s="3">
        <v>1680358</v>
      </c>
      <c r="H25" s="3">
        <v>546136</v>
      </c>
      <c r="I25" s="3">
        <v>71517</v>
      </c>
      <c r="J25" s="3">
        <v>1819211</v>
      </c>
      <c r="K25" s="3">
        <v>448807</v>
      </c>
      <c r="L25" s="3">
        <v>2554122</v>
      </c>
      <c r="P25" s="5" t="str">
        <f>'Monthly Trends'!B25</f>
        <v>2026-01</v>
      </c>
      <c r="Q25" s="1">
        <f>IF(ISNUMBER('Monthly Trends'!C25),'Monthly Trends'!C25,NA())</f>
        <v>0.61430740649959092</v>
      </c>
      <c r="R25" s="1">
        <f>IF(ISNUMBER('Monthly Trends'!D25),'Monthly Trends'!D25,NA())</f>
        <v>0.72451209332487099</v>
      </c>
    </row>
    <row r="26" spans="2:18" x14ac:dyDescent="0.25">
      <c r="B26" s="5" t="s">
        <v>40</v>
      </c>
      <c r="C26" s="3">
        <v>7124952</v>
      </c>
      <c r="D26" s="3">
        <v>4456261</v>
      </c>
      <c r="E26" s="3">
        <v>120871</v>
      </c>
      <c r="F26" s="3">
        <v>2117450</v>
      </c>
      <c r="G26" s="3">
        <v>1568084</v>
      </c>
      <c r="H26" s="3">
        <v>493015</v>
      </c>
      <c r="I26" s="3">
        <v>54649</v>
      </c>
      <c r="J26" s="3">
        <v>1869091</v>
      </c>
      <c r="K26" s="3">
        <v>378542</v>
      </c>
      <c r="L26" s="3">
        <v>2416088</v>
      </c>
      <c r="P26" s="5" t="str">
        <f>'Monthly Trends'!B26</f>
        <v>2026-02</v>
      </c>
      <c r="Q26" s="1">
        <f>IF(ISNUMBER('Monthly Trends'!C26),'Monthly Trends'!C26,NA())</f>
        <v>0.62544435387073483</v>
      </c>
      <c r="R26" s="1">
        <f>IF(ISNUMBER('Monthly Trends'!D26),'Monthly Trends'!D26,NA())</f>
        <v>0.74055302368414844</v>
      </c>
    </row>
    <row r="27" spans="2:18" x14ac:dyDescent="0.25">
      <c r="B27" s="5" t="s">
        <v>41</v>
      </c>
      <c r="C27" s="3">
        <v>7014835</v>
      </c>
      <c r="D27" s="3">
        <v>4580320</v>
      </c>
      <c r="E27" s="3">
        <v>92607</v>
      </c>
      <c r="F27" s="3">
        <v>2432272</v>
      </c>
      <c r="G27" s="3">
        <v>1875561</v>
      </c>
      <c r="H27" s="3">
        <v>553892</v>
      </c>
      <c r="I27" s="3">
        <v>46665</v>
      </c>
      <c r="J27" s="3">
        <v>1924199</v>
      </c>
      <c r="K27" s="3">
        <v>407739</v>
      </c>
      <c r="L27" s="3">
        <v>2647919</v>
      </c>
      <c r="P27" s="5" t="str">
        <f>'Monthly Trends'!B27</f>
        <v>2026-03</v>
      </c>
      <c r="Q27" s="1">
        <f>IF(ISNUMBER('Monthly Trends'!C27),'Monthly Trends'!C27,NA())</f>
        <v>0.65294764595318355</v>
      </c>
      <c r="R27" s="1">
        <f>IF(ISNUMBER('Monthly Trends'!D27),'Monthly Trends'!D27,NA())</f>
        <v>0.77111482597341086</v>
      </c>
    </row>
    <row r="28" spans="2:18" x14ac:dyDescent="0.25">
      <c r="B28" s="5" t="s">
        <v>42</v>
      </c>
      <c r="C28" s="3">
        <v>7093502</v>
      </c>
      <c r="D28" s="3">
        <v>4607182</v>
      </c>
      <c r="E28" s="3">
        <v>97388</v>
      </c>
      <c r="F28" s="3">
        <v>2345329</v>
      </c>
      <c r="G28" s="3">
        <v>1803787</v>
      </c>
      <c r="H28" s="3">
        <v>525660</v>
      </c>
      <c r="I28" s="3">
        <v>47750</v>
      </c>
      <c r="J28" s="3">
        <v>1951404</v>
      </c>
      <c r="K28" s="3">
        <v>485483</v>
      </c>
      <c r="L28" s="3">
        <v>2515356</v>
      </c>
      <c r="P28" s="5" t="str">
        <f>'Monthly Trends'!B28</f>
        <v>2026-04</v>
      </c>
      <c r="Q28" s="1">
        <f>IF(ISNUMBER('Monthly Trends'!C28),'Monthly Trends'!C28,NA())</f>
        <v>0.64949329682292334</v>
      </c>
      <c r="R28" s="1">
        <f>IF(ISNUMBER('Monthly Trends'!D28),'Monthly Trends'!D28,NA())</f>
        <v>0.76909764045897189</v>
      </c>
    </row>
    <row r="29" spans="2:18" x14ac:dyDescent="0.25">
      <c r="B29" s="5" t="s">
        <v>43</v>
      </c>
      <c r="C29" s="3">
        <v>7153655</v>
      </c>
      <c r="D29" s="3">
        <v>4689601</v>
      </c>
      <c r="E29" s="3">
        <v>102341</v>
      </c>
      <c r="F29" s="3">
        <v>2457398</v>
      </c>
      <c r="G29" s="3">
        <v>1860075</v>
      </c>
      <c r="H29" s="3">
        <v>533280</v>
      </c>
      <c r="I29" s="3">
        <v>50212</v>
      </c>
      <c r="J29" s="3">
        <v>1910025</v>
      </c>
      <c r="K29" s="3">
        <v>457295</v>
      </c>
      <c r="L29" s="3">
        <v>2528341</v>
      </c>
      <c r="P29" s="5" t="str">
        <f>'Monthly Trends'!B29</f>
        <v>2026-05</v>
      </c>
      <c r="Q29" s="1">
        <f>IF(ISNUMBER('Monthly Trends'!C29),'Monthly Trends'!C29,NA())</f>
        <v>0.65555314031778156</v>
      </c>
      <c r="R29" s="1">
        <f>IF(ISNUMBER('Monthly Trends'!D29),'Monthly Trends'!D29,NA())</f>
        <v>0.7569286700811183</v>
      </c>
    </row>
    <row r="30" spans="2:18" x14ac:dyDescent="0.25">
      <c r="B30" s="5" t="s">
        <v>44</v>
      </c>
      <c r="C30" s="3">
        <v>7147562</v>
      </c>
      <c r="D30" s="3">
        <v>4704942</v>
      </c>
      <c r="E30" s="3">
        <v>103318</v>
      </c>
      <c r="F30" s="3">
        <v>2437906</v>
      </c>
      <c r="G30" s="3">
        <v>1828989</v>
      </c>
      <c r="H30" s="3">
        <v>534753</v>
      </c>
      <c r="I30" s="3">
        <v>49466</v>
      </c>
      <c r="J30" s="3">
        <v>1930725</v>
      </c>
      <c r="K30" s="3">
        <v>449778</v>
      </c>
      <c r="L30" s="3">
        <v>2677285</v>
      </c>
      <c r="P30" s="5" t="str">
        <f>'Monthly Trends'!B30</f>
        <v>2026-06</v>
      </c>
      <c r="Q30" s="1">
        <f>IF(ISNUMBER('Monthly Trends'!C30),'Monthly Trends'!C30,NA())</f>
        <v>0.65825829842399408</v>
      </c>
      <c r="R30" s="1">
        <f>IF(ISNUMBER('Monthly Trends'!D30),'Monthly Trends'!D30,NA())</f>
        <v>0.75022950023503776</v>
      </c>
    </row>
    <row r="31" spans="2:18" x14ac:dyDescent="0.25">
      <c r="B31" s="5" t="s">
        <v>45</v>
      </c>
      <c r="C31" s="3">
        <v>7131685</v>
      </c>
      <c r="D31" s="3">
        <v>4657059</v>
      </c>
      <c r="E31" s="3">
        <v>108263</v>
      </c>
      <c r="F31" s="3">
        <v>2487580</v>
      </c>
      <c r="G31" s="3">
        <v>1875001</v>
      </c>
      <c r="H31" s="3">
        <v>547828</v>
      </c>
      <c r="I31" s="3">
        <v>47438</v>
      </c>
      <c r="J31" s="3">
        <v>1921259</v>
      </c>
      <c r="K31" s="3">
        <v>444437</v>
      </c>
      <c r="L31" s="3">
        <v>2733371</v>
      </c>
      <c r="P31" s="5" t="str">
        <f>'Monthly Trends'!B31</f>
        <v>2026-07</v>
      </c>
      <c r="Q31" s="1">
        <f>IF(ISNUMBER('Monthly Trends'!C31),'Monthly Trends'!C31,NA())</f>
        <v>0.65300963236598364</v>
      </c>
      <c r="R31" s="1">
        <f>IF(ISNUMBER('Monthly Trends'!D31),'Monthly Trends'!D31,NA())</f>
        <v>0.75374500518576282</v>
      </c>
    </row>
    <row r="32" spans="2:18" x14ac:dyDescent="0.25">
      <c r="B32" s="5" t="s">
        <v>46</v>
      </c>
      <c r="C32" s="3">
        <v>7158164</v>
      </c>
      <c r="D32" s="3">
        <v>4667554</v>
      </c>
      <c r="E32" s="3">
        <v>109936</v>
      </c>
      <c r="F32" s="3">
        <v>2342959</v>
      </c>
      <c r="G32" s="3">
        <v>1758192</v>
      </c>
      <c r="H32" s="3">
        <v>517868</v>
      </c>
      <c r="I32" s="3">
        <v>44951</v>
      </c>
      <c r="J32" s="3">
        <v>1833070</v>
      </c>
      <c r="K32" s="3">
        <v>452306</v>
      </c>
      <c r="L32" s="3">
        <v>2516963</v>
      </c>
      <c r="P32" s="5" t="str">
        <f>'Monthly Trends'!B32</f>
        <v>2026-08</v>
      </c>
      <c r="Q32" s="1">
        <f>IF(ISNUMBER('Monthly Trends'!C32),'Monthly Trends'!C32,NA())</f>
        <v>0.65206022102874428</v>
      </c>
      <c r="R32" s="1">
        <f>IF(ISNUMBER('Monthly Trends'!D32),'Monthly Trends'!D32,NA())</f>
        <v>0.75041518012052277</v>
      </c>
    </row>
    <row r="33" spans="2:18" x14ac:dyDescent="0.25">
      <c r="B33" s="5" t="s">
        <v>47</v>
      </c>
      <c r="C33" s="3"/>
      <c r="D33" s="3"/>
      <c r="E33" s="3"/>
      <c r="F33" s="3">
        <v>2444743</v>
      </c>
      <c r="G33" s="3">
        <v>1817992</v>
      </c>
      <c r="H33" s="3">
        <v>536158</v>
      </c>
      <c r="I33" s="3">
        <v>50582</v>
      </c>
      <c r="J33" s="3"/>
      <c r="K33" s="3"/>
      <c r="L33" s="3"/>
      <c r="P33" s="5" t="str">
        <f>'Monthly Trends'!B33</f>
        <v>2026-09</v>
      </c>
      <c r="Q33" s="1" t="e">
        <f>IF(ISNUMBER('Monthly Trends'!C33),'Monthly Trends'!C33,NA())</f>
        <v>#N/A</v>
      </c>
      <c r="R33" s="1">
        <f>IF(ISNUMBER('Monthly Trends'!D33),'Monthly Trends'!D33,NA())</f>
        <v>0.7436331753480836</v>
      </c>
    </row>
  </sheetData>
  <mergeCells count="2">
    <mergeCell ref="B2:N3"/>
    <mergeCell ref="B5:N5"/>
  </mergeCells>
  <pageMargins left="0.3" right="0.3" top="0.75" bottom="0.75" header="0.3" footer="0.3"/>
  <pageSetup paperSize="9" scale="76" orientation="landscape" r:id="rId1"/>
  <headerFooter>
    <oddFooter>&amp;CNHS England public aggregate data | Independent analysis |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89D87B-48DF-40E4-ADAF-BBCAE2E77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Executive Summary</vt:lpstr>
      <vt:lpstr>RTT Performance</vt:lpstr>
      <vt:lpstr>A&amp;E Performance</vt:lpstr>
      <vt:lpstr>Diagnostics Performance</vt:lpstr>
      <vt:lpstr>Provider Comparisons</vt:lpstr>
      <vt:lpstr>Monthly Trends</vt:lpstr>
      <vt:lpstr>Operational Priorities</vt:lpstr>
      <vt:lpstr>KPI Definitions</vt:lpstr>
      <vt:lpstr>Data Quality Summary</vt:lpstr>
      <vt:lpstr>Scenario Analysis</vt:lpstr>
      <vt:lpstr>Source Data</vt:lpstr>
      <vt:lpstr>'A&amp;E Performance'!Print_Area</vt:lpstr>
      <vt:lpstr>'Data Quality Summary'!Print_Area</vt:lpstr>
      <vt:lpstr>'Diagnostics Performance'!Print_Area</vt:lpstr>
      <vt:lpstr>'KPI Definitions'!Print_Area</vt:lpstr>
      <vt:lpstr>'Monthly Trends'!Print_Area</vt:lpstr>
      <vt:lpstr>'Operational Priorities'!Print_Area</vt:lpstr>
      <vt:lpstr>'Provider Comparisons'!Print_Area</vt:lpstr>
      <vt:lpstr>'RTT Performance'!Print_Area</vt:lpstr>
      <vt:lpstr>'Source Data'!Print_Area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saahithi naralashetty</dc:creator>
  <cp:lastModifiedBy>bindhu saahithi naralashetty</cp:lastModifiedBy>
  <dcterms:created xsi:type="dcterms:W3CDTF">2026-10-27T00:22:30Z</dcterms:created>
  <dcterms:modified xsi:type="dcterms:W3CDTF">2026-10-27T00:38:26Z</dcterms:modified>
</cp:coreProperties>
</file>